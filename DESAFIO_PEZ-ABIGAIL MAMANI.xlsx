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-2025\INF-373(METODOS NUMERICOS)\"/>
    </mc:Choice>
  </mc:AlternateContent>
  <xr:revisionPtr revIDLastSave="0" documentId="8_{85701E8D-F918-440B-848B-6EA173AFB254}" xr6:coauthVersionLast="47" xr6:coauthVersionMax="47" xr10:uidLastSave="{00000000-0000-0000-0000-000000000000}"/>
  <bookViews>
    <workbookView xWindow="-108" yWindow="-108" windowWidth="23256" windowHeight="12576" xr2:uid="{9395927B-58BD-40CF-8E41-FBB9D5725CEF}"/>
  </bookViews>
  <sheets>
    <sheet name="EJERCICIO_1" sheetId="1" r:id="rId1"/>
    <sheet name="EJERCICIO_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" i="4" l="1"/>
  <c r="H145" i="4" s="1"/>
  <c r="I145" i="4" s="1"/>
  <c r="J145" i="4" s="1"/>
  <c r="F62" i="4"/>
  <c r="D63" i="4" s="1"/>
  <c r="F63" i="4" s="1"/>
  <c r="C146" i="4"/>
  <c r="C147" i="4" s="1"/>
  <c r="G145" i="4"/>
  <c r="C63" i="4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111" i="1"/>
  <c r="C112" i="1" s="1"/>
  <c r="G110" i="1"/>
  <c r="F110" i="1"/>
  <c r="H110" i="1" s="1"/>
  <c r="I110" i="1" s="1"/>
  <c r="J110" i="1" s="1"/>
  <c r="D111" i="1" s="1"/>
  <c r="F39" i="1"/>
  <c r="G111" i="1" l="1"/>
  <c r="D146" i="4"/>
  <c r="G147" i="4"/>
  <c r="C148" i="4"/>
  <c r="D64" i="4"/>
  <c r="F64" i="4" s="1"/>
  <c r="G146" i="4"/>
  <c r="F111" i="1"/>
  <c r="H111" i="1" s="1"/>
  <c r="I111" i="1" s="1"/>
  <c r="J111" i="1" s="1"/>
  <c r="D112" i="1" s="1"/>
  <c r="F112" i="1" s="1"/>
  <c r="H112" i="1" s="1"/>
  <c r="I112" i="1" s="1"/>
  <c r="J112" i="1" s="1"/>
  <c r="C113" i="1"/>
  <c r="G112" i="1"/>
  <c r="D40" i="1"/>
  <c r="C40" i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F146" i="4" l="1"/>
  <c r="H146" i="4" s="1"/>
  <c r="I146" i="4" s="1"/>
  <c r="J146" i="4" s="1"/>
  <c r="D147" i="4" s="1"/>
  <c r="F147" i="4" s="1"/>
  <c r="D65" i="4"/>
  <c r="F65" i="4" s="1"/>
  <c r="G148" i="4"/>
  <c r="C149" i="4"/>
  <c r="C114" i="1"/>
  <c r="G113" i="1"/>
  <c r="D113" i="1"/>
  <c r="F40" i="1"/>
  <c r="H147" i="4" l="1"/>
  <c r="I147" i="4" s="1"/>
  <c r="D66" i="4"/>
  <c r="F66" i="4" s="1"/>
  <c r="C150" i="4"/>
  <c r="G149" i="4"/>
  <c r="C115" i="1"/>
  <c r="G114" i="1"/>
  <c r="F113" i="1"/>
  <c r="D41" i="1"/>
  <c r="J147" i="4" l="1"/>
  <c r="D148" i="4" s="1"/>
  <c r="F148" i="4" s="1"/>
  <c r="H148" i="4" s="1"/>
  <c r="I148" i="4" s="1"/>
  <c r="J148" i="4" s="1"/>
  <c r="D67" i="4"/>
  <c r="F67" i="4" s="1"/>
  <c r="G150" i="4"/>
  <c r="C151" i="4"/>
  <c r="C116" i="1"/>
  <c r="G115" i="1"/>
  <c r="H113" i="1"/>
  <c r="I113" i="1" s="1"/>
  <c r="J113" i="1" s="1"/>
  <c r="D114" i="1" s="1"/>
  <c r="F41" i="1"/>
  <c r="D42" i="1" s="1"/>
  <c r="D149" i="4" l="1"/>
  <c r="F149" i="4" s="1"/>
  <c r="C152" i="4"/>
  <c r="G151" i="4"/>
  <c r="D68" i="4"/>
  <c r="F68" i="4" s="1"/>
  <c r="C117" i="1"/>
  <c r="G116" i="1"/>
  <c r="F114" i="1"/>
  <c r="H114" i="1" s="1"/>
  <c r="I114" i="1" s="1"/>
  <c r="J114" i="1" s="1"/>
  <c r="D115" i="1" s="1"/>
  <c r="F42" i="1"/>
  <c r="D43" i="1" s="1"/>
  <c r="F43" i="1" s="1"/>
  <c r="D44" i="1" s="1"/>
  <c r="D69" i="4" l="1"/>
  <c r="F69" i="4" s="1"/>
  <c r="G152" i="4"/>
  <c r="C153" i="4"/>
  <c r="H149" i="4"/>
  <c r="I149" i="4" s="1"/>
  <c r="J149" i="4" s="1"/>
  <c r="C118" i="1"/>
  <c r="G117" i="1"/>
  <c r="F115" i="1"/>
  <c r="H115" i="1" s="1"/>
  <c r="I115" i="1" s="1"/>
  <c r="J115" i="1" s="1"/>
  <c r="F44" i="1"/>
  <c r="D45" i="1" s="1"/>
  <c r="D70" i="4" l="1"/>
  <c r="F70" i="4" s="1"/>
  <c r="D150" i="4"/>
  <c r="F150" i="4" s="1"/>
  <c r="C154" i="4"/>
  <c r="G153" i="4"/>
  <c r="C119" i="1"/>
  <c r="G118" i="1"/>
  <c r="D116" i="1"/>
  <c r="F45" i="1"/>
  <c r="D46" i="1" s="1"/>
  <c r="F46" i="1" s="1"/>
  <c r="D47" i="1" s="1"/>
  <c r="F47" i="1" s="1"/>
  <c r="D48" i="1" s="1"/>
  <c r="F48" i="1" s="1"/>
  <c r="D49" i="1" s="1"/>
  <c r="F49" i="1" s="1"/>
  <c r="D50" i="1" s="1"/>
  <c r="F50" i="1" s="1"/>
  <c r="D51" i="1" s="1"/>
  <c r="D71" i="4" l="1"/>
  <c r="F71" i="4" s="1"/>
  <c r="G154" i="4"/>
  <c r="C155" i="4"/>
  <c r="H150" i="4"/>
  <c r="I150" i="4" s="1"/>
  <c r="J150" i="4" s="1"/>
  <c r="C120" i="1"/>
  <c r="G119" i="1"/>
  <c r="F116" i="1"/>
  <c r="F51" i="1"/>
  <c r="D52" i="1" s="1"/>
  <c r="D72" i="4" l="1"/>
  <c r="F72" i="4" s="1"/>
  <c r="D151" i="4"/>
  <c r="F151" i="4" s="1"/>
  <c r="G155" i="4"/>
  <c r="C156" i="4"/>
  <c r="C121" i="1"/>
  <c r="G120" i="1"/>
  <c r="H116" i="1"/>
  <c r="I116" i="1" s="1"/>
  <c r="J116" i="1" s="1"/>
  <c r="D117" i="1" s="1"/>
  <c r="F52" i="1"/>
  <c r="D53" i="1" s="1"/>
  <c r="C157" i="4" l="1"/>
  <c r="G156" i="4"/>
  <c r="D73" i="4"/>
  <c r="F73" i="4" s="1"/>
  <c r="H151" i="4"/>
  <c r="I151" i="4" s="1"/>
  <c r="J151" i="4" s="1"/>
  <c r="C122" i="1"/>
  <c r="G121" i="1"/>
  <c r="F117" i="1"/>
  <c r="H117" i="1" s="1"/>
  <c r="I117" i="1" s="1"/>
  <c r="J117" i="1" s="1"/>
  <c r="F53" i="1"/>
  <c r="D54" i="1" s="1"/>
  <c r="D74" i="4" l="1"/>
  <c r="F74" i="4" s="1"/>
  <c r="D152" i="4"/>
  <c r="F152" i="4" s="1"/>
  <c r="C158" i="4"/>
  <c r="G157" i="4"/>
  <c r="C123" i="1"/>
  <c r="G122" i="1"/>
  <c r="D118" i="1"/>
  <c r="F54" i="1"/>
  <c r="D55" i="1" s="1"/>
  <c r="D75" i="4" l="1"/>
  <c r="F75" i="4" s="1"/>
  <c r="H152" i="4"/>
  <c r="I152" i="4" s="1"/>
  <c r="J152" i="4" s="1"/>
  <c r="C159" i="4"/>
  <c r="G158" i="4"/>
  <c r="C124" i="1"/>
  <c r="G123" i="1"/>
  <c r="F118" i="1"/>
  <c r="H118" i="1" s="1"/>
  <c r="I118" i="1" s="1"/>
  <c r="J118" i="1" s="1"/>
  <c r="D119" i="1" s="1"/>
  <c r="F55" i="1"/>
  <c r="D56" i="1" s="1"/>
  <c r="G159" i="4" l="1"/>
  <c r="C160" i="4"/>
  <c r="D76" i="4"/>
  <c r="F76" i="4" s="1"/>
  <c r="D153" i="4"/>
  <c r="F153" i="4" s="1"/>
  <c r="F119" i="1"/>
  <c r="C125" i="1"/>
  <c r="G124" i="1"/>
  <c r="F56" i="1"/>
  <c r="D57" i="1" s="1"/>
  <c r="D77" i="4" l="1"/>
  <c r="F77" i="4" s="1"/>
  <c r="H153" i="4"/>
  <c r="I153" i="4" s="1"/>
  <c r="G160" i="4"/>
  <c r="C161" i="4"/>
  <c r="H119" i="1"/>
  <c r="I119" i="1" s="1"/>
  <c r="J119" i="1" s="1"/>
  <c r="D120" i="1" s="1"/>
  <c r="C126" i="1"/>
  <c r="G125" i="1"/>
  <c r="F57" i="1"/>
  <c r="D58" i="1" s="1"/>
  <c r="J153" i="4" l="1"/>
  <c r="D154" i="4" s="1"/>
  <c r="F154" i="4" s="1"/>
  <c r="H154" i="4" s="1"/>
  <c r="I154" i="4" s="1"/>
  <c r="D78" i="4"/>
  <c r="F78" i="4" s="1"/>
  <c r="C162" i="4"/>
  <c r="G161" i="4"/>
  <c r="F120" i="1"/>
  <c r="C127" i="1"/>
  <c r="G126" i="1"/>
  <c r="F58" i="1"/>
  <c r="D59" i="1" s="1"/>
  <c r="F59" i="1" s="1"/>
  <c r="J154" i="4" l="1"/>
  <c r="D155" i="4" s="1"/>
  <c r="F155" i="4" s="1"/>
  <c r="H155" i="4" s="1"/>
  <c r="I155" i="4" s="1"/>
  <c r="D79" i="4"/>
  <c r="F79" i="4" s="1"/>
  <c r="G162" i="4"/>
  <c r="C163" i="4"/>
  <c r="H120" i="1"/>
  <c r="I120" i="1" s="1"/>
  <c r="J120" i="1" s="1"/>
  <c r="D121" i="1" s="1"/>
  <c r="C128" i="1"/>
  <c r="G127" i="1"/>
  <c r="J155" i="4" l="1"/>
  <c r="D156" i="4" s="1"/>
  <c r="F156" i="4" s="1"/>
  <c r="H156" i="4" s="1"/>
  <c r="I156" i="4" s="1"/>
  <c r="J156" i="4" s="1"/>
  <c r="D80" i="4"/>
  <c r="F80" i="4" s="1"/>
  <c r="C164" i="4"/>
  <c r="G163" i="4"/>
  <c r="F121" i="1"/>
  <c r="C129" i="1"/>
  <c r="G128" i="1"/>
  <c r="D81" i="4" l="1"/>
  <c r="F81" i="4" s="1"/>
  <c r="C165" i="4"/>
  <c r="G164" i="4"/>
  <c r="D157" i="4"/>
  <c r="F157" i="4" s="1"/>
  <c r="H121" i="1"/>
  <c r="I121" i="1" s="1"/>
  <c r="J121" i="1" s="1"/>
  <c r="D122" i="1" s="1"/>
  <c r="C130" i="1"/>
  <c r="G130" i="1" s="1"/>
  <c r="G129" i="1"/>
  <c r="G165" i="4" l="1"/>
  <c r="C166" i="4"/>
  <c r="D82" i="4"/>
  <c r="H157" i="4"/>
  <c r="I157" i="4" s="1"/>
  <c r="F122" i="1"/>
  <c r="C167" i="4" l="1"/>
  <c r="G166" i="4"/>
  <c r="J157" i="4"/>
  <c r="D158" i="4" s="1"/>
  <c r="F158" i="4" s="1"/>
  <c r="H158" i="4" s="1"/>
  <c r="I158" i="4" s="1"/>
  <c r="J158" i="4" s="1"/>
  <c r="F82" i="4"/>
  <c r="D83" i="4" s="1"/>
  <c r="H122" i="1"/>
  <c r="I122" i="1" s="1"/>
  <c r="J122" i="1" s="1"/>
  <c r="D123" i="1" s="1"/>
  <c r="C168" i="4" l="1"/>
  <c r="G167" i="4"/>
  <c r="F83" i="4"/>
  <c r="D84" i="4" s="1"/>
  <c r="D159" i="4"/>
  <c r="F159" i="4" s="1"/>
  <c r="F123" i="1"/>
  <c r="C169" i="4" l="1"/>
  <c r="G168" i="4"/>
  <c r="F84" i="4"/>
  <c r="D85" i="4" s="1"/>
  <c r="F85" i="4" s="1"/>
  <c r="D86" i="4" s="1"/>
  <c r="F86" i="4" s="1"/>
  <c r="D87" i="4" s="1"/>
  <c r="F87" i="4" s="1"/>
  <c r="D88" i="4" s="1"/>
  <c r="F88" i="4" s="1"/>
  <c r="D89" i="4" s="1"/>
  <c r="F89" i="4" s="1"/>
  <c r="D90" i="4" s="1"/>
  <c r="F90" i="4" s="1"/>
  <c r="D91" i="4" s="1"/>
  <c r="F91" i="4" s="1"/>
  <c r="D92" i="4" s="1"/>
  <c r="F92" i="4" s="1"/>
  <c r="D93" i="4" s="1"/>
  <c r="F93" i="4" s="1"/>
  <c r="D94" i="4" s="1"/>
  <c r="H159" i="4"/>
  <c r="I159" i="4" s="1"/>
  <c r="H123" i="1"/>
  <c r="I123" i="1" s="1"/>
  <c r="J123" i="1" s="1"/>
  <c r="D124" i="1" s="1"/>
  <c r="C170" i="4" l="1"/>
  <c r="G169" i="4"/>
  <c r="J159" i="4"/>
  <c r="D160" i="4" s="1"/>
  <c r="F160" i="4" s="1"/>
  <c r="H160" i="4" s="1"/>
  <c r="I160" i="4" s="1"/>
  <c r="J160" i="4" s="1"/>
  <c r="F94" i="4"/>
  <c r="F124" i="1"/>
  <c r="C171" i="4" l="1"/>
  <c r="G170" i="4"/>
  <c r="D161" i="4"/>
  <c r="F161" i="4" s="1"/>
  <c r="H124" i="1"/>
  <c r="I124" i="1" s="1"/>
  <c r="J124" i="1" s="1"/>
  <c r="D125" i="1" s="1"/>
  <c r="C172" i="4" l="1"/>
  <c r="G171" i="4"/>
  <c r="H161" i="4"/>
  <c r="I161" i="4" s="1"/>
  <c r="J161" i="4" s="1"/>
  <c r="F125" i="1"/>
  <c r="C173" i="4" l="1"/>
  <c r="G172" i="4"/>
  <c r="D162" i="4"/>
  <c r="F162" i="4" s="1"/>
  <c r="H125" i="1"/>
  <c r="I125" i="1" s="1"/>
  <c r="J125" i="1" s="1"/>
  <c r="D126" i="1" s="1"/>
  <c r="C174" i="4" l="1"/>
  <c r="G173" i="4"/>
  <c r="H162" i="4"/>
  <c r="I162" i="4" s="1"/>
  <c r="F126" i="1"/>
  <c r="C175" i="4" l="1"/>
  <c r="G174" i="4"/>
  <c r="J162" i="4"/>
  <c r="D163" i="4" s="1"/>
  <c r="F163" i="4" s="1"/>
  <c r="H163" i="4" s="1"/>
  <c r="I163" i="4" s="1"/>
  <c r="J163" i="4" s="1"/>
  <c r="H126" i="1"/>
  <c r="I126" i="1" s="1"/>
  <c r="J126" i="1" s="1"/>
  <c r="D127" i="1" s="1"/>
  <c r="C176" i="4" l="1"/>
  <c r="G175" i="4"/>
  <c r="D164" i="4"/>
  <c r="F164" i="4" s="1"/>
  <c r="F127" i="1"/>
  <c r="C177" i="4" l="1"/>
  <c r="G176" i="4"/>
  <c r="H164" i="4"/>
  <c r="I164" i="4" s="1"/>
  <c r="J164" i="4" s="1"/>
  <c r="H127" i="1"/>
  <c r="I127" i="1" s="1"/>
  <c r="J127" i="1" s="1"/>
  <c r="D128" i="1" s="1"/>
  <c r="C178" i="4" l="1"/>
  <c r="G177" i="4"/>
  <c r="D165" i="4"/>
  <c r="F128" i="1"/>
  <c r="F165" i="4" l="1"/>
  <c r="H165" i="4" s="1"/>
  <c r="I165" i="4" s="1"/>
  <c r="J165" i="4" s="1"/>
  <c r="C179" i="4"/>
  <c r="G178" i="4"/>
  <c r="H128" i="1"/>
  <c r="I128" i="1" s="1"/>
  <c r="J128" i="1" s="1"/>
  <c r="D129" i="1" s="1"/>
  <c r="D166" i="4" l="1"/>
  <c r="F166" i="4" s="1"/>
  <c r="H166" i="4" s="1"/>
  <c r="I166" i="4" s="1"/>
  <c r="J166" i="4" s="1"/>
  <c r="C180" i="4"/>
  <c r="G179" i="4"/>
  <c r="F129" i="1"/>
  <c r="C181" i="4" l="1"/>
  <c r="G180" i="4"/>
  <c r="D167" i="4"/>
  <c r="H129" i="1"/>
  <c r="I129" i="1" s="1"/>
  <c r="J129" i="1" s="1"/>
  <c r="D130" i="1" s="1"/>
  <c r="F167" i="4" l="1"/>
  <c r="H167" i="4" s="1"/>
  <c r="I167" i="4" s="1"/>
  <c r="J167" i="4" s="1"/>
  <c r="C182" i="4"/>
  <c r="G181" i="4"/>
  <c r="F130" i="1"/>
  <c r="H130" i="1" s="1"/>
  <c r="I130" i="1" s="1"/>
  <c r="J130" i="1" s="1"/>
  <c r="C183" i="4" l="1"/>
  <c r="G182" i="4"/>
  <c r="D168" i="4"/>
  <c r="F168" i="4" l="1"/>
  <c r="H168" i="4" s="1"/>
  <c r="I168" i="4" s="1"/>
  <c r="J168" i="4" s="1"/>
  <c r="D169" i="4" s="1"/>
  <c r="C184" i="4"/>
  <c r="G183" i="4"/>
  <c r="F169" i="4" l="1"/>
  <c r="H169" i="4" s="1"/>
  <c r="I169" i="4" s="1"/>
  <c r="J169" i="4" s="1"/>
  <c r="D170" i="4" s="1"/>
  <c r="C185" i="4"/>
  <c r="G184" i="4"/>
  <c r="F170" i="4" l="1"/>
  <c r="H170" i="4" s="1"/>
  <c r="I170" i="4" s="1"/>
  <c r="J170" i="4" s="1"/>
  <c r="C186" i="4"/>
  <c r="G185" i="4"/>
  <c r="D171" i="4" l="1"/>
  <c r="F171" i="4" s="1"/>
  <c r="H171" i="4" s="1"/>
  <c r="I171" i="4" s="1"/>
  <c r="J171" i="4" s="1"/>
  <c r="C187" i="4"/>
  <c r="G186" i="4"/>
  <c r="C188" i="4" l="1"/>
  <c r="G188" i="4" s="1"/>
  <c r="G187" i="4"/>
  <c r="D172" i="4"/>
  <c r="F172" i="4" l="1"/>
  <c r="H172" i="4" s="1"/>
  <c r="I172" i="4" s="1"/>
  <c r="J172" i="4" s="1"/>
  <c r="D173" i="4" s="1"/>
  <c r="F173" i="4" l="1"/>
  <c r="H173" i="4" s="1"/>
  <c r="I173" i="4" s="1"/>
  <c r="J173" i="4" s="1"/>
  <c r="D174" i="4" s="1"/>
  <c r="F174" i="4" l="1"/>
  <c r="H174" i="4" s="1"/>
  <c r="I174" i="4" s="1"/>
  <c r="J174" i="4" s="1"/>
  <c r="D175" i="4" l="1"/>
  <c r="F175" i="4" l="1"/>
  <c r="H175" i="4" s="1"/>
  <c r="I175" i="4" s="1"/>
  <c r="J175" i="4" s="1"/>
  <c r="D176" i="4" l="1"/>
  <c r="F176" i="4" l="1"/>
  <c r="H176" i="4" s="1"/>
  <c r="I176" i="4" s="1"/>
  <c r="J176" i="4" s="1"/>
  <c r="D177" i="4" l="1"/>
  <c r="F177" i="4" l="1"/>
  <c r="H177" i="4" s="1"/>
  <c r="I177" i="4" s="1"/>
  <c r="J177" i="4" s="1"/>
  <c r="D178" i="4" l="1"/>
  <c r="F178" i="4" s="1"/>
  <c r="H178" i="4" s="1"/>
  <c r="I178" i="4" s="1"/>
  <c r="J178" i="4" s="1"/>
  <c r="D179" i="4" s="1"/>
  <c r="F179" i="4" s="1"/>
  <c r="H179" i="4" s="1"/>
  <c r="I179" i="4" s="1"/>
  <c r="J179" i="4" s="1"/>
  <c r="D180" i="4" s="1"/>
  <c r="F180" i="4" l="1"/>
  <c r="H180" i="4" s="1"/>
  <c r="I180" i="4" s="1"/>
  <c r="J180" i="4" s="1"/>
  <c r="D181" i="4" l="1"/>
  <c r="F181" i="4" s="1"/>
  <c r="H181" i="4" s="1"/>
  <c r="I181" i="4" s="1"/>
  <c r="J181" i="4" s="1"/>
  <c r="D182" i="4" s="1"/>
  <c r="F182" i="4" s="1"/>
  <c r="H182" i="4" s="1"/>
  <c r="I182" i="4" s="1"/>
  <c r="J182" i="4" s="1"/>
  <c r="D183" i="4" s="1"/>
  <c r="F183" i="4" l="1"/>
  <c r="H183" i="4" s="1"/>
  <c r="I183" i="4" s="1"/>
  <c r="J183" i="4" s="1"/>
  <c r="D184" i="4" l="1"/>
  <c r="F184" i="4" s="1"/>
  <c r="H184" i="4" s="1"/>
  <c r="I184" i="4" s="1"/>
  <c r="J184" i="4" s="1"/>
  <c r="D185" i="4" s="1"/>
  <c r="F185" i="4" s="1"/>
  <c r="H185" i="4" s="1"/>
  <c r="I185" i="4" s="1"/>
  <c r="J185" i="4" s="1"/>
  <c r="D186" i="4" s="1"/>
  <c r="F186" i="4" s="1"/>
  <c r="H186" i="4" s="1"/>
  <c r="I186" i="4" s="1"/>
  <c r="J186" i="4" s="1"/>
  <c r="D187" i="4" s="1"/>
  <c r="F187" i="4" s="1"/>
  <c r="H187" i="4" s="1"/>
  <c r="I187" i="4" s="1"/>
  <c r="J187" i="4" s="1"/>
  <c r="D188" i="4" s="1"/>
  <c r="F188" i="4" l="1"/>
  <c r="H188" i="4" s="1"/>
  <c r="I188" i="4" s="1"/>
  <c r="J188" i="4" s="1"/>
</calcChain>
</file>

<file path=xl/sharedStrings.xml><?xml version="1.0" encoding="utf-8"?>
<sst xmlns="http://schemas.openxmlformats.org/spreadsheetml/2006/main" count="247" uniqueCount="202">
  <si>
    <t xml:space="preserve">Tenemos la siguiente ecuación: </t>
  </si>
  <si>
    <t xml:space="preserve">Datos del problema: </t>
  </si>
  <si>
    <t xml:space="preserve">Donde: </t>
  </si>
  <si>
    <t>#</t>
  </si>
  <si>
    <t>t(dias)</t>
  </si>
  <si>
    <t>m(kg)</t>
  </si>
  <si>
    <t>h</t>
  </si>
  <si>
    <t>f(t,m)</t>
  </si>
  <si>
    <t>m(0) = 1</t>
  </si>
  <si>
    <t>m(1) = m(0) + h * f(t0,m0)</t>
  </si>
  <si>
    <t>m(2) = m(1) + h * f(t1,m1)</t>
  </si>
  <si>
    <t>m(3) = m(2) + h * f(t2,m2)</t>
  </si>
  <si>
    <t>m(4) = m(3) + h * f(t3,m3)</t>
  </si>
  <si>
    <t>m(5) = m(4) + h * f(t4,m4)</t>
  </si>
  <si>
    <t>m(6) = m(5) + h * f(t5,m5)</t>
  </si>
  <si>
    <t>m(7) = m(6) + h * f(t6,m6)</t>
  </si>
  <si>
    <t>m(8) = m(7) + h * f(t7,m7)</t>
  </si>
  <si>
    <t>m(9) = m(8) + h * f(t8,m8)</t>
  </si>
  <si>
    <t>m(10) = m(9) + h * f(t9,m9)</t>
  </si>
  <si>
    <t>m(11) = m(10) + h * f(t10,m10)</t>
  </si>
  <si>
    <t>m(12) = m(11) + h * f(t11,m11)</t>
  </si>
  <si>
    <t>m(13) = m(12) + h * f(t12,m12)</t>
  </si>
  <si>
    <t>m(14) = m(13) + h * f(t13,m13)</t>
  </si>
  <si>
    <t>m(15) = m(14) + h * f(t14,m14)</t>
  </si>
  <si>
    <t>m(16) = m(15) + h * f(t15,m15)</t>
  </si>
  <si>
    <t>m(17) = m(16) + h * f(t16,m16)</t>
  </si>
  <si>
    <t>m(18) = m(17) + h * f(t17,m17)</t>
  </si>
  <si>
    <t>m(19) = m(18) + h * f(t18,m18)</t>
  </si>
  <si>
    <t>m(20) = m(19) + h * f(t19,m19)</t>
  </si>
  <si>
    <t>h = 20</t>
  </si>
  <si>
    <t>METODO DE EULER</t>
  </si>
  <si>
    <t>METODO DE HEUN</t>
  </si>
  <si>
    <r>
      <rPr>
        <b/>
        <sz val="11"/>
        <color theme="1"/>
        <rFont val="Calibri"/>
        <family val="2"/>
        <scheme val="minor"/>
      </rPr>
      <t>Paso 1:</t>
    </r>
    <r>
      <rPr>
        <sz val="11"/>
        <color theme="1"/>
        <rFont val="Calibri"/>
        <family val="2"/>
        <scheme val="minor"/>
      </rPr>
      <t xml:space="preserve"> Cálculo de K1 (pendiente inicial)</t>
    </r>
  </si>
  <si>
    <r>
      <rPr>
        <b/>
        <sz val="11"/>
        <color theme="1"/>
        <rFont val="Calibri"/>
        <family val="2"/>
        <scheme val="minor"/>
      </rPr>
      <t>Paso 2:</t>
    </r>
    <r>
      <rPr>
        <sz val="11"/>
        <color theme="1"/>
        <rFont val="Calibri"/>
        <family val="2"/>
        <scheme val="minor"/>
      </rPr>
      <t xml:space="preserve"> Cálculo de K2 (pendiente corregida)</t>
    </r>
  </si>
  <si>
    <t>Primero estimación Euler:</t>
  </si>
  <si>
    <t>Luego valor predicho:</t>
  </si>
  <si>
    <t xml:space="preserve">Evaluamos nuevamente: </t>
  </si>
  <si>
    <r>
      <rPr>
        <b/>
        <sz val="11"/>
        <color theme="1"/>
        <rFont val="Calibri"/>
        <family val="2"/>
        <scheme val="minor"/>
      </rPr>
      <t>Paso 3:</t>
    </r>
    <r>
      <rPr>
        <sz val="11"/>
        <color theme="1"/>
        <rFont val="Calibri"/>
        <family val="2"/>
        <scheme val="minor"/>
      </rPr>
      <t xml:space="preserve"> Aplicar fórmula del Método de Heun:</t>
    </r>
  </si>
  <si>
    <t>k2</t>
  </si>
  <si>
    <t>(t + h)</t>
  </si>
  <si>
    <t>m + (h*k1)</t>
  </si>
  <si>
    <t>(h * k1)</t>
  </si>
  <si>
    <t>B</t>
  </si>
  <si>
    <t>k1</t>
  </si>
  <si>
    <t>m(1) = m(0) + (h/2) (k1+k2)</t>
  </si>
  <si>
    <t>m(2) = m(1) + (h/2) (k1+k2)</t>
  </si>
  <si>
    <t>m(3) = m(2) + (h/2) (k1+k2)</t>
  </si>
  <si>
    <t>m(4) = m(3) + (h/2) (k1+k2)</t>
  </si>
  <si>
    <t>m(5) = m(4) + (h/2) (k1+k2)</t>
  </si>
  <si>
    <t>m(6) = m(5) + (h/2) (k1+k2)</t>
  </si>
  <si>
    <t>m(7) = m(6) + (h/2) (k1+k2)</t>
  </si>
  <si>
    <t>m(8) = m(7) + (h/2) (k1+k2)</t>
  </si>
  <si>
    <t>m(9) = m(8) + (h/2) (k1+k2)</t>
  </si>
  <si>
    <t>m(10) = m(9) + (h/2) (k1+k2)</t>
  </si>
  <si>
    <t>m(11) = m(10) + (h/2) (k1+k2)</t>
  </si>
  <si>
    <t>m(12) = m(11) + (h/2) (k1+k2)</t>
  </si>
  <si>
    <t>m(13) = m(12) + (h/2) (k1+k2)</t>
  </si>
  <si>
    <t>m(14) = m(13) + (h/2) (k1+k2)</t>
  </si>
  <si>
    <t>m(15) = m(14) + (h/2) (k1+k2)</t>
  </si>
  <si>
    <t>m(16) = m(15) + (h/2) (k1+k2)</t>
  </si>
  <si>
    <t>m(17) = m(16) + (h/2) (k1+k2)</t>
  </si>
  <si>
    <t>m(18) = m(17) + (h/2) (k1+k2)</t>
  </si>
  <si>
    <t>m(19) = m(18) + (h/2) (k1+k2)</t>
  </si>
  <si>
    <t>m(20) = m(19) + (h/2) (k1+k2)</t>
  </si>
  <si>
    <t>A</t>
  </si>
  <si>
    <t xml:space="preserve">Fórmula de Euler: </t>
  </si>
  <si>
    <t xml:space="preserve">EJERCICIO 1 </t>
  </si>
  <si>
    <t xml:space="preserve">EJERCICIO 2 </t>
  </si>
  <si>
    <t>Calculo del peso máximo:</t>
  </si>
  <si>
    <t xml:space="preserve">El peso máximo ocurre cuando </t>
  </si>
  <si>
    <t>Entonces:</t>
  </si>
  <si>
    <t>Factorizamos:</t>
  </si>
  <si>
    <t xml:space="preserve">Solución no trivial: </t>
  </si>
  <si>
    <t>Finalmente:</t>
  </si>
  <si>
    <t>Sustituimos:</t>
  </si>
  <si>
    <r>
      <t>Por lo tanto:</t>
    </r>
    <r>
      <rPr>
        <b/>
        <sz val="11"/>
        <color rgb="FF7030A0"/>
        <rFont val="Calibri"/>
        <family val="2"/>
        <scheme val="minor"/>
      </rPr>
      <t xml:space="preserve"> El pez crecerá hasta 15.625 lb, pero nunca lo sobrepasará</t>
    </r>
  </si>
  <si>
    <t>Podemos probar hasta que w se acerque a ~15,625</t>
  </si>
  <si>
    <t xml:space="preserve">Entonces: </t>
  </si>
  <si>
    <t>w(lb)</t>
  </si>
  <si>
    <t>f(t,w)</t>
  </si>
  <si>
    <t>w + (h*k1)</t>
  </si>
  <si>
    <t>Con:</t>
  </si>
  <si>
    <r>
      <t xml:space="preserve">Para verificar la presición, se probaron también </t>
    </r>
    <r>
      <rPr>
        <b/>
        <sz val="11"/>
        <color theme="1"/>
        <rFont val="Calibri"/>
        <family val="2"/>
        <scheme val="minor"/>
      </rPr>
      <t>h = 10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h = 5</t>
    </r>
  </si>
  <si>
    <r>
      <t xml:space="preserve">Los graficos comparativos muestran que al reducir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la solucion se suaviza</t>
    </r>
  </si>
  <si>
    <r>
      <rPr>
        <b/>
        <sz val="11"/>
        <color theme="4"/>
        <rFont val="Calibri"/>
        <family val="2"/>
        <scheme val="minor"/>
      </rPr>
      <t>Grafico 1: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20</t>
    </r>
  </si>
  <si>
    <r>
      <rPr>
        <b/>
        <sz val="11"/>
        <color theme="4"/>
        <rFont val="Calibri"/>
        <family val="2"/>
        <scheme val="minor"/>
      </rPr>
      <t>Grafico 2: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10</t>
    </r>
  </si>
  <si>
    <r>
      <rPr>
        <b/>
        <sz val="11"/>
        <color theme="4"/>
        <rFont val="Calibri"/>
        <family val="2"/>
        <scheme val="minor"/>
      </rPr>
      <t>Grafico 3: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5</t>
    </r>
  </si>
  <si>
    <t>Usando el método de Euler con diferentes pasos temporales, se obtiene que</t>
  </si>
  <si>
    <r>
      <t>después de 400 días la masa del organismo es aproximadamente </t>
    </r>
    <r>
      <rPr>
        <sz val="10"/>
        <color rgb="FF0F1115"/>
        <rFont val="Segoe UI"/>
        <family val="2"/>
      </rPr>
      <t>299.8 kg</t>
    </r>
    <r>
      <rPr>
        <sz val="10"/>
        <color rgb="FF0F1115"/>
        <rFont val="Segoe UI"/>
        <family val="2"/>
      </rPr>
      <t>, muy</t>
    </r>
  </si>
  <si>
    <t>cercana a la masa máxima teórica de 300 kg. La solución numérica converge al</t>
  </si>
  <si>
    <t>reducir h, confirmando la estabilidad del método para este modelo de crecimiento.</t>
  </si>
  <si>
    <r>
      <t>Gráficamente</t>
    </r>
    <r>
      <rPr>
        <sz val="10"/>
        <color rgb="FF0F1115"/>
        <rFont val="Segoe UI"/>
        <family val="2"/>
      </rPr>
      <t>: La curva m(t) crece rápido al inicio (crecimiento exponencial</t>
    </r>
  </si>
  <si>
    <t>modificado) y luego se estabiliza asintóticamente hacia 300 kg.</t>
  </si>
  <si>
    <t>MASA DEL ORG</t>
  </si>
  <si>
    <r>
      <rPr>
        <b/>
        <sz val="11"/>
        <color theme="4"/>
        <rFont val="Calibri"/>
        <family val="2"/>
        <scheme val="minor"/>
      </rPr>
      <t>Grafico 1: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20</t>
    </r>
  </si>
  <si>
    <r>
      <rPr>
        <b/>
        <sz val="11"/>
        <color theme="4"/>
        <rFont val="Calibri"/>
        <family val="2"/>
        <scheme val="minor"/>
      </rPr>
      <t>Grafico 2: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10</t>
    </r>
  </si>
  <si>
    <r>
      <rPr>
        <b/>
        <sz val="11"/>
        <color theme="4"/>
        <rFont val="Calibri"/>
        <family val="2"/>
        <scheme val="minor"/>
      </rPr>
      <t>Grafico 3: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5</t>
    </r>
  </si>
  <si>
    <t xml:space="preserve">CONCLUSIÓN EULER: </t>
  </si>
  <si>
    <t>h = 0,5</t>
  </si>
  <si>
    <t>w(0) = 1</t>
  </si>
  <si>
    <t>w(1) = w(0) + h * f(t0,w0)</t>
  </si>
  <si>
    <t>w(2) = w(1) + h * f(t1,w1)</t>
  </si>
  <si>
    <t>w(3) = w(2) + h * f(t2,w2)</t>
  </si>
  <si>
    <t>w(4) = w(3) + h * f(t3,w3)</t>
  </si>
  <si>
    <t>w(5) = w(4) + h * f(t4,w4)</t>
  </si>
  <si>
    <t>w(6) = w(5) + h * f(t5,w5)</t>
  </si>
  <si>
    <t>w(7) = w(6) + h * f(t6,w6)</t>
  </si>
  <si>
    <t>w(8) = w(7) + h * f(t7,w7)</t>
  </si>
  <si>
    <t>w(9) = w(8) + h * f(t8,w8)</t>
  </si>
  <si>
    <t>w(10) = w(9) + h * f(t9,w9)</t>
  </si>
  <si>
    <t>w(11) = w(10) + h * f(t10,w10)</t>
  </si>
  <si>
    <t>w(12) = w(11) + h * f(t11,w11)</t>
  </si>
  <si>
    <t>w(13) = w(12) + h * f(t12,w12)</t>
  </si>
  <si>
    <t>w(14) = w(13) + h * f(t13,w13)</t>
  </si>
  <si>
    <t>w(15) = w(14) + h * f(t14,w14)</t>
  </si>
  <si>
    <t>w(16) = w(15) + h * f(t15,w15)</t>
  </si>
  <si>
    <t>w(17) = w(16) + h * f(t16,w16)</t>
  </si>
  <si>
    <t>w(18) = w(17) + h * f(t17,w17)</t>
  </si>
  <si>
    <t>w(19) = w(18) + h * f(t18,w18)</t>
  </si>
  <si>
    <t>w(20) = w(19) + h * f(t19,w19)</t>
  </si>
  <si>
    <t>w(1) = w(0) + (h/2) (k1+k2)</t>
  </si>
  <si>
    <t>w(2) = w(1) + (h/2) (k1+k2)</t>
  </si>
  <si>
    <t>w(3) = w(2) + (h/2) (k1+k2)</t>
  </si>
  <si>
    <t>w(4) = w(3) + (h/2) (k1+k2)</t>
  </si>
  <si>
    <t>w(5) = w(4) + (h/2) (k1+k2)</t>
  </si>
  <si>
    <t>w(6) = w(5) + (h/2) (k1+k2)</t>
  </si>
  <si>
    <t>w(7) = w(6) + (h/2) (k1+k2)</t>
  </si>
  <si>
    <t>w(8) = w(7) + (h/2) (k1+k2)</t>
  </si>
  <si>
    <t>w(9) = w(8) + (h/2) (k1+k2)</t>
  </si>
  <si>
    <t>w(10) = w(9) + (h/2) (k1+k2)</t>
  </si>
  <si>
    <t>w(11) = w(10) + (h/2) (k1+k2)</t>
  </si>
  <si>
    <t>w(12) = w(11) + (h/2) (k1+k2)</t>
  </si>
  <si>
    <t>w(13) = w(12) + (h/2) (k1+k2)</t>
  </si>
  <si>
    <t>w(14) = w(13) + (h/2) (k1+k2)</t>
  </si>
  <si>
    <t>w(15) = w(14) + (h/2) (k1+k2)</t>
  </si>
  <si>
    <t>w(16) = w(15) + (h/2) (k1+k2)</t>
  </si>
  <si>
    <t>w(17) = w(16) + (h/2) (k1+k2)</t>
  </si>
  <si>
    <t>w(18) = w(17) + (h/2) (k1+k2)</t>
  </si>
  <si>
    <t>w(19) = w(18) + (h/2) (k1+k2)</t>
  </si>
  <si>
    <t>w(20) = w(19) + (h/2) (k1+k2)</t>
  </si>
  <si>
    <t>w(21) = w(20) + h * f(t20,w20)</t>
  </si>
  <si>
    <t>w(22) = w(21) + h * f(t21,w21)</t>
  </si>
  <si>
    <t>w(23) = w(22) + h * f(t22,w22)</t>
  </si>
  <si>
    <t>w(24) = w(23) + h * f(t23,w23)</t>
  </si>
  <si>
    <t>w(25) = w(24) + h * f(t24,w24)</t>
  </si>
  <si>
    <t>w(26) = w(25) + h * f(t25,w25)</t>
  </si>
  <si>
    <t>w(27) = w(26) + h * f(t26,w26)</t>
  </si>
  <si>
    <t>w(28) = w(27) + h * f(t27,w27)</t>
  </si>
  <si>
    <t>w(29) = w(28) + h * f(t28,w28)</t>
  </si>
  <si>
    <t>w(39) = w(29) + h * f(t29,w29)</t>
  </si>
  <si>
    <t>w(31) = w(30) + h * f(t30,w30)</t>
  </si>
  <si>
    <t>w(32) = w(31) + h * f(t31,w31)</t>
  </si>
  <si>
    <t>w(21) = w(20) + (h/2) (k1+k2)</t>
  </si>
  <si>
    <t>w(22) = w(21) + (h/2) (k1+k2)</t>
  </si>
  <si>
    <t>w(23) = w(22) + (h/2) (k1+k2)</t>
  </si>
  <si>
    <t>w(24) = w(23) + (h/2) (k1+k2)</t>
  </si>
  <si>
    <t>w(25) = w(24) + (h/2) (k1+k2)</t>
  </si>
  <si>
    <t>w(26) = w(25) + (h/2) (k1+k2)</t>
  </si>
  <si>
    <t>w(27) = w(26) + (h/2) (k1+k2)</t>
  </si>
  <si>
    <t>w(28) = w(27) + (h/2) (k1+k2)</t>
  </si>
  <si>
    <t>w(29) = w(28) + (h/2) (k1+k2)</t>
  </si>
  <si>
    <t>w(30) = w(29) + (h/2) (k1+k2)</t>
  </si>
  <si>
    <t>w(31) = w(30) + (h/2) (k1+k2)</t>
  </si>
  <si>
    <t>w(32) = w(31) + (h/2) (k1+k2)</t>
  </si>
  <si>
    <t>w(33) = w(32) + (h/2) (k1+k2)</t>
  </si>
  <si>
    <t>w(34) = w(33) + (h/2) (k1+k2)</t>
  </si>
  <si>
    <t>w(35) = w(34) + (h/2) (k1+k2)</t>
  </si>
  <si>
    <t>w(36) = w(35) + (h/2) (k1+k2)</t>
  </si>
  <si>
    <t>w(37) = w(36) + (h/2) (k1+k2)</t>
  </si>
  <si>
    <t>w(38) = w(37) + (h/2) (k1+k2)</t>
  </si>
  <si>
    <t>w(39) = w(38) + (h/2) (k1+k2)</t>
  </si>
  <si>
    <t>w(40) = w(39) + (h/2) (k1+k2)</t>
  </si>
  <si>
    <t>w(41) = w(40) + (h/2) (k1+k2)</t>
  </si>
  <si>
    <t>w(42) = w(41) + (h/2) (k1+k2)</t>
  </si>
  <si>
    <t>w(43) = w(42) + (h/2) (k1+k2)</t>
  </si>
  <si>
    <t>CONCLUSION HEUN:</t>
  </si>
  <si>
    <r>
      <t>El método de Heun, con h = 5 días, estima una masa final de </t>
    </r>
    <r>
      <rPr>
        <sz val="10"/>
        <color rgb="FF0F1115"/>
        <rFont val="Segoe UI"/>
        <family val="2"/>
      </rPr>
      <t>299.1 kg</t>
    </r>
    <r>
      <rPr>
        <sz val="10"/>
        <color rgb="FF0F1115"/>
        <rFont val="Segoe UI"/>
        <family val="2"/>
      </rPr>
      <t> después de</t>
    </r>
  </si>
  <si>
    <t>400 días, mostrando una aproximación más precisa y estable que Euler para el</t>
  </si>
  <si>
    <t>mismo paso. Aunque no alcanza el valor teórico de 300 kg, esto se debe al error de</t>
  </si>
  <si>
    <r>
      <t>truncamiento inherente al tamaño de paso discreto. Al reducir </t>
    </r>
    <r>
      <rPr>
        <sz val="13.3"/>
        <color rgb="FF0F1115"/>
        <rFont val="Times New Roman"/>
        <family val="1"/>
      </rPr>
      <t>h</t>
    </r>
    <r>
      <rPr>
        <i/>
        <sz val="13.3"/>
        <color rgb="FF0F1115"/>
        <rFont val="KaTeX_Math"/>
      </rPr>
      <t>h</t>
    </r>
    <r>
      <rPr>
        <sz val="10"/>
        <color rgb="FF0F1115"/>
        <rFont val="Segoe UI"/>
        <family val="2"/>
      </rPr>
      <t>, la solución se</t>
    </r>
  </si>
  <si>
    <t>acerca progresivamente a la asíntota, confirmando la robustez del método para</t>
  </si>
  <si>
    <t>modelar crecimiento asintótico no lineal. </t>
  </si>
  <si>
    <r>
      <t xml:space="preserve">Para analizar la sensibilidad del metodo al tamaño de paso, se probaron también </t>
    </r>
    <r>
      <rPr>
        <b/>
        <sz val="11"/>
        <color theme="1"/>
        <rFont val="Calibri"/>
        <family val="2"/>
        <scheme val="minor"/>
      </rPr>
      <t xml:space="preserve">h = 1 </t>
    </r>
    <r>
      <rPr>
        <sz val="11"/>
        <color theme="1"/>
        <rFont val="Calibri"/>
        <family val="2"/>
        <scheme val="minor"/>
      </rPr>
      <t xml:space="preserve">y </t>
    </r>
    <r>
      <rPr>
        <b/>
        <sz val="11"/>
        <color theme="1"/>
        <rFont val="Calibri"/>
        <family val="2"/>
        <scheme val="minor"/>
      </rPr>
      <t>h = 2</t>
    </r>
  </si>
  <si>
    <t>Se observa cómo al aumentar h, la solucion tienede a sobreestimar el crecimiento inicial y oscila antes de estabilizarse</t>
  </si>
  <si>
    <r>
      <rPr>
        <b/>
        <sz val="11"/>
        <color theme="4"/>
        <rFont val="Calibri"/>
        <family val="2"/>
        <scheme val="minor"/>
      </rPr>
      <t>Grafico 1: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0,5</t>
    </r>
  </si>
  <si>
    <r>
      <rPr>
        <b/>
        <sz val="11"/>
        <color theme="4"/>
        <rFont val="Calibri"/>
        <family val="2"/>
        <scheme val="minor"/>
      </rPr>
      <t>Grafico 3: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2</t>
    </r>
  </si>
  <si>
    <r>
      <rPr>
        <b/>
        <sz val="11"/>
        <color theme="4"/>
        <rFont val="Calibri"/>
        <family val="2"/>
        <scheme val="minor"/>
      </rPr>
      <t>Grafico 2:</t>
    </r>
    <r>
      <rPr>
        <sz val="11"/>
        <color theme="1"/>
        <rFont val="Calibri"/>
        <family val="2"/>
        <scheme val="minor"/>
      </rPr>
      <t xml:space="preserve"> Euler con </t>
    </r>
    <r>
      <rPr>
        <sz val="11"/>
        <color theme="4"/>
        <rFont val="Calibri"/>
        <family val="2"/>
        <scheme val="minor"/>
      </rPr>
      <t>h = 1</t>
    </r>
  </si>
  <si>
    <r>
      <rPr>
        <b/>
        <sz val="11"/>
        <color theme="4"/>
        <rFont val="Calibri"/>
        <family val="2"/>
        <scheme val="minor"/>
      </rPr>
      <t>Grafico 1: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0,5</t>
    </r>
  </si>
  <si>
    <r>
      <rPr>
        <b/>
        <sz val="11"/>
        <color theme="4"/>
        <rFont val="Calibri"/>
        <family val="2"/>
        <scheme val="minor"/>
      </rPr>
      <t>Grafico 2: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1</t>
    </r>
  </si>
  <si>
    <r>
      <rPr>
        <b/>
        <sz val="11"/>
        <color theme="4"/>
        <rFont val="Calibri"/>
        <family val="2"/>
        <scheme val="minor"/>
      </rPr>
      <t>Grafico 3:</t>
    </r>
    <r>
      <rPr>
        <sz val="11"/>
        <color theme="1"/>
        <rFont val="Calibri"/>
        <family val="2"/>
        <scheme val="minor"/>
      </rPr>
      <t xml:space="preserve"> Heun con </t>
    </r>
    <r>
      <rPr>
        <sz val="11"/>
        <color theme="4"/>
        <rFont val="Calibri"/>
        <family val="2"/>
        <scheme val="minor"/>
      </rPr>
      <t>h = 2</t>
    </r>
  </si>
  <si>
    <t>PESO</t>
  </si>
  <si>
    <t>CONCLUSION EULER:</t>
  </si>
  <si>
    <t>Con h = 0.5 días, el método de Euler predice un crecimiento inicial rápido del peso</t>
  </si>
  <si>
    <t>del pez, estabilizándose alrededor del día 15 hacia el peso máximo teórico de 15.625</t>
  </si>
  <si>
    <t>lb. Sin embargo, con pasos mayores (h = 1, h = 2) se observa una sobreestimación</t>
  </si>
  <si>
    <t>en la velocidad de crecimiento y oscilaciones antes de la estabilización, lo que</t>
  </si>
  <si>
    <t>indica una sensibilidad al tamaño de paso.</t>
  </si>
  <si>
    <t>Con el mismo h = 0.5, Heun muestra una curva de crecimiento más suave y</t>
  </si>
  <si>
    <t>converge de manera más estable al peso máximo sin sobrepicos. Incluso con h</t>
  </si>
  <si>
    <t>mayores (1, 2), Heun mantiene mejor la precisión que Euler, demostrando su</t>
  </si>
  <si>
    <t>robustez en modelos con términos no lineales como w^2/3.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</si>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</sst>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rgb="FF0F1115"/>
      <name val="Segoe UI"/>
      <family val="2"/>
    </font>
    <font>
      <sz val="10"/>
      <color rgb="FF0F1115"/>
      <name val="Segoe UI"/>
      <family val="2"/>
    </font>
    <font>
      <sz val="13.3"/>
      <color rgb="FF0F1115"/>
      <name val="Times New Roman"/>
      <family val="1"/>
    </font>
    <font>
      <i/>
      <sz val="13.3"/>
      <color rgb="FF0F1115"/>
      <name val="KaTeX_Math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9DDB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BA4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E64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6EB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9" borderId="1" xfId="0" applyFill="1" applyBorder="1"/>
    <xf numFmtId="0" fontId="6" fillId="0" borderId="0" xfId="0" applyFont="1"/>
    <xf numFmtId="0" fontId="7" fillId="0" borderId="0" xfId="0" applyFont="1"/>
    <xf numFmtId="0" fontId="10" fillId="5" borderId="1" xfId="0" applyFont="1" applyFill="1" applyBorder="1"/>
    <xf numFmtId="0" fontId="10" fillId="0" borderId="0" xfId="0" applyFont="1"/>
    <xf numFmtId="0" fontId="1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E64C"/>
      <color rgb="FF69DDBF"/>
      <color rgb="FFF4B6EB"/>
      <color rgb="FFFF93FF"/>
      <color rgb="FFDBA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20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EJERCICIO_1!$C$39:$C$59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EJERCICIO_1!$D$39:$D$59</c:f>
              <c:numCache>
                <c:formatCode>General</c:formatCode>
                <c:ptCount val="21"/>
                <c:pt idx="0">
                  <c:v>1</c:v>
                </c:pt>
                <c:pt idx="1">
                  <c:v>5.5583131515191475</c:v>
                </c:pt>
                <c:pt idx="2">
                  <c:v>19.264900550537401</c:v>
                </c:pt>
                <c:pt idx="3">
                  <c:v>46.663912469412324</c:v>
                </c:pt>
                <c:pt idx="4">
                  <c:v>86.513245246540805</c:v>
                </c:pt>
                <c:pt idx="5">
                  <c:v>131.98966668863952</c:v>
                </c:pt>
                <c:pt idx="6">
                  <c:v>175.34674295854921</c:v>
                </c:pt>
                <c:pt idx="7">
                  <c:v>211.66924823473727</c:v>
                </c:pt>
                <c:pt idx="8">
                  <c:v>239.47040350011628</c:v>
                </c:pt>
                <c:pt idx="9">
                  <c:v>259.47899669775842</c:v>
                </c:pt>
                <c:pt idx="10">
                  <c:v>273.29879974247513</c:v>
                </c:pt>
                <c:pt idx="11">
                  <c:v>282.58874179305553</c:v>
                </c:pt>
                <c:pt idx="12">
                  <c:v>288.7241442823842</c:v>
                </c:pt>
                <c:pt idx="13">
                  <c:v>292.73000873297093</c:v>
                </c:pt>
                <c:pt idx="14">
                  <c:v>295.32621606314302</c:v>
                </c:pt>
                <c:pt idx="15">
                  <c:v>297.00084339152579</c:v>
                </c:pt>
                <c:pt idx="16">
                  <c:v>298.07773511044121</c:v>
                </c:pt>
                <c:pt idx="17">
                  <c:v>298.7688919085702</c:v>
                </c:pt>
                <c:pt idx="18">
                  <c:v>299.21192599327429</c:v>
                </c:pt>
                <c:pt idx="19">
                  <c:v>299.49568486466904</c:v>
                </c:pt>
                <c:pt idx="20">
                  <c:v>299.67733632459846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D-47A5-83B6-AFB1521EC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423472"/>
        <c:axId val="648417232"/>
      </c:scatterChart>
      <c:valAx>
        <c:axId val="6484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8417232"/>
        <c:crosses val="autoZero"/>
        <c:crossBetween val="midCat"/>
      </c:valAx>
      <c:valAx>
        <c:axId val="6484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4842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20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EJERCICIO_1!$C$110:$C$130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EJERCICIO_1!$D$110:$D$130</c:f>
              <c:numCache>
                <c:formatCode>General</c:formatCode>
                <c:ptCount val="21"/>
                <c:pt idx="0">
                  <c:v>1</c:v>
                </c:pt>
                <c:pt idx="1">
                  <c:v>10.132450275268699</c:v>
                </c:pt>
                <c:pt idx="2">
                  <c:v>36.599685065678457</c:v>
                </c:pt>
                <c:pt idx="3">
                  <c:v>77.164320408612213</c:v>
                </c:pt>
                <c:pt idx="4">
                  <c:v>121.82453832704002</c:v>
                </c:pt>
                <c:pt idx="5">
                  <c:v>163.07637089947025</c:v>
                </c:pt>
                <c:pt idx="6">
                  <c:v>197.58844524237935</c:v>
                </c:pt>
                <c:pt idx="7">
                  <c:v>224.80091474196951</c:v>
                </c:pt>
                <c:pt idx="8">
                  <c:v>245.47507145425195</c:v>
                </c:pt>
                <c:pt idx="9">
                  <c:v>260.80765995861259</c:v>
                </c:pt>
                <c:pt idx="10">
                  <c:v>271.99791156932747</c:v>
                </c:pt>
                <c:pt idx="11">
                  <c:v>280.07684337038171</c:v>
                </c:pt>
                <c:pt idx="12">
                  <c:v>285.86637065894377</c:v>
                </c:pt>
                <c:pt idx="13">
                  <c:v>289.99404560347352</c:v>
                </c:pt>
                <c:pt idx="14">
                  <c:v>292.92643140170611</c:v>
                </c:pt>
                <c:pt idx="15">
                  <c:v>295.00449002899592</c:v>
                </c:pt>
                <c:pt idx="16">
                  <c:v>296.4745656114751</c:v>
                </c:pt>
                <c:pt idx="17">
                  <c:v>297.51327094512931</c:v>
                </c:pt>
                <c:pt idx="18">
                  <c:v>298.24655719015891</c:v>
                </c:pt>
                <c:pt idx="19">
                  <c:v>298.76391809705342</c:v>
                </c:pt>
                <c:pt idx="20">
                  <c:v>299.12878127811155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6-485C-B96A-B521E901B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30304"/>
        <c:axId val="657337984"/>
      </c:scatterChart>
      <c:valAx>
        <c:axId val="6573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7984"/>
        <c:crosses val="autoZero"/>
        <c:crossBetween val="midCat"/>
      </c:valAx>
      <c:valAx>
        <c:axId val="6573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0-4D7C-8A59-D70D1F4D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7861903"/>
        <c:axId val="1037863343"/>
      </c:scatterChart>
      <c:valAx>
        <c:axId val="103786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7863343"/>
        <c:crosses val="autoZero"/>
        <c:crossBetween val="midCat"/>
      </c:valAx>
      <c:valAx>
        <c:axId val="103786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786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D-4187-9953-C0BEFEDC9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665311"/>
        <c:axId val="1206677311"/>
      </c:scatterChart>
      <c:valAx>
        <c:axId val="120666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06677311"/>
        <c:crosses val="autoZero"/>
        <c:crossBetween val="midCat"/>
      </c:valAx>
      <c:valAx>
        <c:axId val="120667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06665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20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EJERCICIO_1!$C$110:$C$130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EJERCICIO_1!$D$110:$D$130</c:f>
              <c:numCache>
                <c:formatCode>General</c:formatCode>
                <c:ptCount val="21"/>
                <c:pt idx="0">
                  <c:v>1</c:v>
                </c:pt>
                <c:pt idx="1">
                  <c:v>10.132450275268699</c:v>
                </c:pt>
                <c:pt idx="2">
                  <c:v>36.599685065678457</c:v>
                </c:pt>
                <c:pt idx="3">
                  <c:v>77.164320408612213</c:v>
                </c:pt>
                <c:pt idx="4">
                  <c:v>121.82453832704002</c:v>
                </c:pt>
                <c:pt idx="5">
                  <c:v>163.07637089947025</c:v>
                </c:pt>
                <c:pt idx="6">
                  <c:v>197.58844524237935</c:v>
                </c:pt>
                <c:pt idx="7">
                  <c:v>224.80091474196951</c:v>
                </c:pt>
                <c:pt idx="8">
                  <c:v>245.47507145425195</c:v>
                </c:pt>
                <c:pt idx="9">
                  <c:v>260.80765995861259</c:v>
                </c:pt>
                <c:pt idx="10">
                  <c:v>271.99791156932747</c:v>
                </c:pt>
                <c:pt idx="11">
                  <c:v>280.07684337038171</c:v>
                </c:pt>
                <c:pt idx="12">
                  <c:v>285.86637065894377</c:v>
                </c:pt>
                <c:pt idx="13">
                  <c:v>289.99404560347352</c:v>
                </c:pt>
                <c:pt idx="14">
                  <c:v>292.92643140170611</c:v>
                </c:pt>
                <c:pt idx="15">
                  <c:v>295.00449002899592</c:v>
                </c:pt>
                <c:pt idx="16">
                  <c:v>296.4745656114751</c:v>
                </c:pt>
                <c:pt idx="17">
                  <c:v>297.51327094512931</c:v>
                </c:pt>
                <c:pt idx="18">
                  <c:v>298.24655719015891</c:v>
                </c:pt>
                <c:pt idx="19">
                  <c:v>298.76391809705342</c:v>
                </c:pt>
                <c:pt idx="20">
                  <c:v>299.12878127811155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38-4E8B-9885-EFCA11177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30304"/>
        <c:axId val="657337984"/>
      </c:scatterChart>
      <c:valAx>
        <c:axId val="6573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7984"/>
        <c:crosses val="autoZero"/>
        <c:crossBetween val="midCat"/>
      </c:valAx>
      <c:valAx>
        <c:axId val="6573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20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EJERCICIO_1!$C$110:$C$130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EJERCICIO_1!$D$110:$D$130</c:f>
              <c:numCache>
                <c:formatCode>General</c:formatCode>
                <c:ptCount val="21"/>
                <c:pt idx="0">
                  <c:v>1</c:v>
                </c:pt>
                <c:pt idx="1">
                  <c:v>10.132450275268699</c:v>
                </c:pt>
                <c:pt idx="2">
                  <c:v>36.599685065678457</c:v>
                </c:pt>
                <c:pt idx="3">
                  <c:v>77.164320408612213</c:v>
                </c:pt>
                <c:pt idx="4">
                  <c:v>121.82453832704002</c:v>
                </c:pt>
                <c:pt idx="5">
                  <c:v>163.07637089947025</c:v>
                </c:pt>
                <c:pt idx="6">
                  <c:v>197.58844524237935</c:v>
                </c:pt>
                <c:pt idx="7">
                  <c:v>224.80091474196951</c:v>
                </c:pt>
                <c:pt idx="8">
                  <c:v>245.47507145425195</c:v>
                </c:pt>
                <c:pt idx="9">
                  <c:v>260.80765995861259</c:v>
                </c:pt>
                <c:pt idx="10">
                  <c:v>271.99791156932747</c:v>
                </c:pt>
                <c:pt idx="11">
                  <c:v>280.07684337038171</c:v>
                </c:pt>
                <c:pt idx="12">
                  <c:v>285.86637065894377</c:v>
                </c:pt>
                <c:pt idx="13">
                  <c:v>289.99404560347352</c:v>
                </c:pt>
                <c:pt idx="14">
                  <c:v>292.92643140170611</c:v>
                </c:pt>
                <c:pt idx="15">
                  <c:v>295.00449002899592</c:v>
                </c:pt>
                <c:pt idx="16">
                  <c:v>296.4745656114751</c:v>
                </c:pt>
                <c:pt idx="17">
                  <c:v>297.51327094512931</c:v>
                </c:pt>
                <c:pt idx="18">
                  <c:v>298.24655719015891</c:v>
                </c:pt>
                <c:pt idx="19">
                  <c:v>298.76391809705342</c:v>
                </c:pt>
                <c:pt idx="20">
                  <c:v>299.12878127811155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A-4867-9251-8F2DB0356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330304"/>
        <c:axId val="657337984"/>
      </c:scatterChart>
      <c:valAx>
        <c:axId val="6573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7984"/>
        <c:crosses val="autoZero"/>
        <c:crossBetween val="midCat"/>
      </c:valAx>
      <c:valAx>
        <c:axId val="6573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6573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EJERCICIO_2!$C$62:$C$94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EJERCICIO_2!$D$62:$D$94</c:f>
              <c:numCache>
                <c:formatCode>General</c:formatCode>
                <c:ptCount val="33"/>
                <c:pt idx="0">
                  <c:v>0.5</c:v>
                </c:pt>
                <c:pt idx="1">
                  <c:v>1.5749013123685915</c:v>
                </c:pt>
                <c:pt idx="2">
                  <c:v>3.3840926026134639</c:v>
                </c:pt>
                <c:pt idx="3">
                  <c:v>5.635098360841643</c:v>
                </c:pt>
                <c:pt idx="4">
                  <c:v>7.9166420605013119</c:v>
                </c:pt>
                <c:pt idx="5">
                  <c:v>9.9304138538599815</c:v>
                </c:pt>
                <c:pt idx="6">
                  <c:v>11.550077744651624</c:v>
                </c:pt>
                <c:pt idx="7">
                  <c:v>12.774089275123544</c:v>
                </c:pt>
                <c:pt idx="8">
                  <c:v>13.661340207609422</c:v>
                </c:pt>
                <c:pt idx="9">
                  <c:v>14.286819124367948</c:v>
                </c:pt>
                <c:pt idx="10">
                  <c:v>14.719634953513554</c:v>
                </c:pt>
                <c:pt idx="11">
                  <c:v>15.015439037989726</c:v>
                </c:pt>
                <c:pt idx="12">
                  <c:v>15.215936905199957</c:v>
                </c:pt>
                <c:pt idx="13">
                  <c:v>15.351087288697441</c:v>
                </c:pt>
                <c:pt idx="14">
                  <c:v>15.441853792190338</c:v>
                </c:pt>
                <c:pt idx="15">
                  <c:v>15.502662752289098</c:v>
                </c:pt>
                <c:pt idx="16">
                  <c:v>15.54333503506134</c:v>
                </c:pt>
                <c:pt idx="17">
                  <c:v>15.570509154355207</c:v>
                </c:pt>
                <c:pt idx="18">
                  <c:v>15.588651622093721</c:v>
                </c:pt>
                <c:pt idx="19">
                  <c:v>15.600758343102916</c:v>
                </c:pt>
                <c:pt idx="20">
                  <c:v>15.608834713616984</c:v>
                </c:pt>
                <c:pt idx="21">
                  <c:v>15.614221283305806</c:v>
                </c:pt>
                <c:pt idx="22">
                  <c:v>15.617813362443027</c:v>
                </c:pt>
                <c:pt idx="23">
                  <c:v>15.620208540947296</c:v>
                </c:pt>
                <c:pt idx="24">
                  <c:v>15.621805530685153</c:v>
                </c:pt>
                <c:pt idx="25">
                  <c:v>15.622870281217221</c:v>
                </c:pt>
                <c:pt idx="26">
                  <c:v>15.62358015522231</c:v>
                </c:pt>
                <c:pt idx="27">
                  <c:v>15.624053422478582</c:v>
                </c:pt>
                <c:pt idx="28">
                  <c:v>15.624368941947262</c:v>
                </c:pt>
                <c:pt idx="29">
                  <c:v>15.62457929179957</c:v>
                </c:pt>
                <c:pt idx="30">
                  <c:v>15.624719526607731</c:v>
                </c:pt>
                <c:pt idx="31">
                  <c:v>15.624813017179083</c:v>
                </c:pt>
                <c:pt idx="32">
                  <c:v>15.624875344537433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9-4990-AD38-E82C9BFD5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879791"/>
        <c:axId val="1213882671"/>
      </c:scatterChart>
      <c:valAx>
        <c:axId val="121387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82671"/>
        <c:crosses val="autoZero"/>
        <c:crossBetween val="midCat"/>
      </c:valAx>
      <c:valAx>
        <c:axId val="12138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7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EJERCICIO_2!$C$145:$C$188</c:f>
              <c:numCache>
                <c:formatCode>General</c:formatCode>
                <c:ptCount val="4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</c:numCache>
            </c:numRef>
          </c:xVal>
          <c:yVal>
            <c:numRef>
              <c:f>EJERCICIO_2!$D$145:$D$188</c:f>
              <c:numCache>
                <c:formatCode>General</c:formatCode>
                <c:ptCount val="44"/>
                <c:pt idx="0">
                  <c:v>0.5</c:v>
                </c:pt>
                <c:pt idx="1">
                  <c:v>1.9420463013067319</c:v>
                </c:pt>
                <c:pt idx="2">
                  <c:v>4.0635873283038695</c:v>
                </c:pt>
                <c:pt idx="3">
                  <c:v>6.3254753023414354</c:v>
                </c:pt>
                <c:pt idx="4">
                  <c:v>8.3896444773098029</c:v>
                </c:pt>
                <c:pt idx="5">
                  <c:v>10.120745787646094</c:v>
                </c:pt>
                <c:pt idx="6">
                  <c:v>11.501538578005844</c:v>
                </c:pt>
                <c:pt idx="7">
                  <c:v>12.568666302284328</c:v>
                </c:pt>
                <c:pt idx="8">
                  <c:v>13.376457278354817</c:v>
                </c:pt>
                <c:pt idx="9">
                  <c:v>13.979435159357793</c:v>
                </c:pt>
                <c:pt idx="10">
                  <c:v>14.425211993797507</c:v>
                </c:pt>
                <c:pt idx="11">
                  <c:v>14.752561384649631</c:v>
                </c:pt>
                <c:pt idx="12">
                  <c:v>14.991808142052934</c:v>
                </c:pt>
                <c:pt idx="13">
                  <c:v>15.166076670890526</c:v>
                </c:pt>
                <c:pt idx="14">
                  <c:v>15.292710417051737</c:v>
                </c:pt>
                <c:pt idx="15">
                  <c:v>15.384571989655701</c:v>
                </c:pt>
                <c:pt idx="16">
                  <c:v>15.451127339992992</c:v>
                </c:pt>
                <c:pt idx="17">
                  <c:v>15.499305173150461</c:v>
                </c:pt>
                <c:pt idx="18">
                  <c:v>15.534157724581702</c:v>
                </c:pt>
                <c:pt idx="19">
                  <c:v>15.559358989573184</c:v>
                </c:pt>
                <c:pt idx="20">
                  <c:v>15.577575544209612</c:v>
                </c:pt>
                <c:pt idx="21">
                  <c:v>15.590740104890299</c:v>
                </c:pt>
                <c:pt idx="22">
                  <c:v>15.60025210014231</c:v>
                </c:pt>
                <c:pt idx="23">
                  <c:v>15.60712409519099</c:v>
                </c:pt>
                <c:pt idx="24">
                  <c:v>15.61208836114343</c:v>
                </c:pt>
                <c:pt idx="25">
                  <c:v>15.615674268601072</c:v>
                </c:pt>
                <c:pt idx="26">
                  <c:v>15.618264405856559</c:v>
                </c:pt>
                <c:pt idx="27">
                  <c:v>15.620135224957156</c:v>
                </c:pt>
                <c:pt idx="28">
                  <c:v>15.621486457847395</c:v>
                </c:pt>
                <c:pt idx="29">
                  <c:v>15.622462393002703</c:v>
                </c:pt>
                <c:pt idx="30">
                  <c:v>15.623167258393343</c:v>
                </c:pt>
                <c:pt idx="31">
                  <c:v>15.623676340013381</c:v>
                </c:pt>
                <c:pt idx="32">
                  <c:v>15.62404401642091</c:v>
                </c:pt>
                <c:pt idx="33">
                  <c:v>15.624309563804498</c:v>
                </c:pt>
                <c:pt idx="34">
                  <c:v>15.624501349753269</c:v>
                </c:pt>
                <c:pt idx="35">
                  <c:v>15.624639862728348</c:v>
                </c:pt>
                <c:pt idx="36">
                  <c:v>15.624739900346965</c:v>
                </c:pt>
                <c:pt idx="37">
                  <c:v>15.624812149983317</c:v>
                </c:pt>
                <c:pt idx="38">
                  <c:v>15.624864330404096</c:v>
                </c:pt>
                <c:pt idx="39">
                  <c:v>15.624902016330241</c:v>
                </c:pt>
                <c:pt idx="40">
                  <c:v>15.624929233978357</c:v>
                </c:pt>
                <c:pt idx="41">
                  <c:v>15.624948891186808</c:v>
                </c:pt>
                <c:pt idx="42">
                  <c:v>15.624963088069041</c:v>
                </c:pt>
                <c:pt idx="43">
                  <c:v>15.624973341377814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A4-4AE1-9B2E-F19989896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050927"/>
        <c:axId val="963047567"/>
      </c:scatterChart>
      <c:valAx>
        <c:axId val="9630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47567"/>
        <c:crosses val="autoZero"/>
        <c:crossBetween val="midCat"/>
      </c:valAx>
      <c:valAx>
        <c:axId val="9630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EJERCICIO_2!$C$62:$C$94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EJERCICIO_2!$D$62:$D$94</c:f>
              <c:numCache>
                <c:formatCode>General</c:formatCode>
                <c:ptCount val="33"/>
                <c:pt idx="0">
                  <c:v>0.5</c:v>
                </c:pt>
                <c:pt idx="1">
                  <c:v>1.5749013123685915</c:v>
                </c:pt>
                <c:pt idx="2">
                  <c:v>3.3840926026134639</c:v>
                </c:pt>
                <c:pt idx="3">
                  <c:v>5.635098360841643</c:v>
                </c:pt>
                <c:pt idx="4">
                  <c:v>7.9166420605013119</c:v>
                </c:pt>
                <c:pt idx="5">
                  <c:v>9.9304138538599815</c:v>
                </c:pt>
                <c:pt idx="6">
                  <c:v>11.550077744651624</c:v>
                </c:pt>
                <c:pt idx="7">
                  <c:v>12.774089275123544</c:v>
                </c:pt>
                <c:pt idx="8">
                  <c:v>13.661340207609422</c:v>
                </c:pt>
                <c:pt idx="9">
                  <c:v>14.286819124367948</c:v>
                </c:pt>
                <c:pt idx="10">
                  <c:v>14.719634953513554</c:v>
                </c:pt>
                <c:pt idx="11">
                  <c:v>15.015439037989726</c:v>
                </c:pt>
                <c:pt idx="12">
                  <c:v>15.215936905199957</c:v>
                </c:pt>
                <c:pt idx="13">
                  <c:v>15.351087288697441</c:v>
                </c:pt>
                <c:pt idx="14">
                  <c:v>15.441853792190338</c:v>
                </c:pt>
                <c:pt idx="15">
                  <c:v>15.502662752289098</c:v>
                </c:pt>
                <c:pt idx="16">
                  <c:v>15.54333503506134</c:v>
                </c:pt>
                <c:pt idx="17">
                  <c:v>15.570509154355207</c:v>
                </c:pt>
                <c:pt idx="18">
                  <c:v>15.588651622093721</c:v>
                </c:pt>
                <c:pt idx="19">
                  <c:v>15.600758343102916</c:v>
                </c:pt>
                <c:pt idx="20">
                  <c:v>15.608834713616984</c:v>
                </c:pt>
                <c:pt idx="21">
                  <c:v>15.614221283305806</c:v>
                </c:pt>
                <c:pt idx="22">
                  <c:v>15.617813362443027</c:v>
                </c:pt>
                <c:pt idx="23">
                  <c:v>15.620208540947296</c:v>
                </c:pt>
                <c:pt idx="24">
                  <c:v>15.621805530685153</c:v>
                </c:pt>
                <c:pt idx="25">
                  <c:v>15.622870281217221</c:v>
                </c:pt>
                <c:pt idx="26">
                  <c:v>15.62358015522231</c:v>
                </c:pt>
                <c:pt idx="27">
                  <c:v>15.624053422478582</c:v>
                </c:pt>
                <c:pt idx="28">
                  <c:v>15.624368941947262</c:v>
                </c:pt>
                <c:pt idx="29">
                  <c:v>15.62457929179957</c:v>
                </c:pt>
                <c:pt idx="30">
                  <c:v>15.624719526607731</c:v>
                </c:pt>
                <c:pt idx="31">
                  <c:v>15.624813017179083</c:v>
                </c:pt>
                <c:pt idx="32">
                  <c:v>15.624875344537433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0-43E5-A461-A8362DDB8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879791"/>
        <c:axId val="1213882671"/>
      </c:scatterChart>
      <c:valAx>
        <c:axId val="121387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82671"/>
        <c:crosses val="autoZero"/>
        <c:crossBetween val="midCat"/>
      </c:valAx>
      <c:valAx>
        <c:axId val="12138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7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EJERCICIO_2!$C$62:$C$94</c:f>
              <c:numCache>
                <c:formatCode>General</c:formatCode>
                <c:ptCount val="3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</c:numCache>
            </c:numRef>
          </c:xVal>
          <c:yVal>
            <c:numRef>
              <c:f>EJERCICIO_2!$D$62:$D$94</c:f>
              <c:numCache>
                <c:formatCode>General</c:formatCode>
                <c:ptCount val="33"/>
                <c:pt idx="0">
                  <c:v>0.5</c:v>
                </c:pt>
                <c:pt idx="1">
                  <c:v>1.5749013123685915</c:v>
                </c:pt>
                <c:pt idx="2">
                  <c:v>3.3840926026134639</c:v>
                </c:pt>
                <c:pt idx="3">
                  <c:v>5.635098360841643</c:v>
                </c:pt>
                <c:pt idx="4">
                  <c:v>7.9166420605013119</c:v>
                </c:pt>
                <c:pt idx="5">
                  <c:v>9.9304138538599815</c:v>
                </c:pt>
                <c:pt idx="6">
                  <c:v>11.550077744651624</c:v>
                </c:pt>
                <c:pt idx="7">
                  <c:v>12.774089275123544</c:v>
                </c:pt>
                <c:pt idx="8">
                  <c:v>13.661340207609422</c:v>
                </c:pt>
                <c:pt idx="9">
                  <c:v>14.286819124367948</c:v>
                </c:pt>
                <c:pt idx="10">
                  <c:v>14.719634953513554</c:v>
                </c:pt>
                <c:pt idx="11">
                  <c:v>15.015439037989726</c:v>
                </c:pt>
                <c:pt idx="12">
                  <c:v>15.215936905199957</c:v>
                </c:pt>
                <c:pt idx="13">
                  <c:v>15.351087288697441</c:v>
                </c:pt>
                <c:pt idx="14">
                  <c:v>15.441853792190338</c:v>
                </c:pt>
                <c:pt idx="15">
                  <c:v>15.502662752289098</c:v>
                </c:pt>
                <c:pt idx="16">
                  <c:v>15.54333503506134</c:v>
                </c:pt>
                <c:pt idx="17">
                  <c:v>15.570509154355207</c:v>
                </c:pt>
                <c:pt idx="18">
                  <c:v>15.588651622093721</c:v>
                </c:pt>
                <c:pt idx="19">
                  <c:v>15.600758343102916</c:v>
                </c:pt>
                <c:pt idx="20">
                  <c:v>15.608834713616984</c:v>
                </c:pt>
                <c:pt idx="21">
                  <c:v>15.614221283305806</c:v>
                </c:pt>
                <c:pt idx="22">
                  <c:v>15.617813362443027</c:v>
                </c:pt>
                <c:pt idx="23">
                  <c:v>15.620208540947296</c:v>
                </c:pt>
                <c:pt idx="24">
                  <c:v>15.621805530685153</c:v>
                </c:pt>
                <c:pt idx="25">
                  <c:v>15.622870281217221</c:v>
                </c:pt>
                <c:pt idx="26">
                  <c:v>15.62358015522231</c:v>
                </c:pt>
                <c:pt idx="27">
                  <c:v>15.624053422478582</c:v>
                </c:pt>
                <c:pt idx="28">
                  <c:v>15.624368941947262</c:v>
                </c:pt>
                <c:pt idx="29">
                  <c:v>15.62457929179957</c:v>
                </c:pt>
                <c:pt idx="30">
                  <c:v>15.624719526607731</c:v>
                </c:pt>
                <c:pt idx="31">
                  <c:v>15.624813017179083</c:v>
                </c:pt>
                <c:pt idx="32">
                  <c:v>15.624875344537433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9-404C-9620-C63DB0930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879791"/>
        <c:axId val="1213882671"/>
      </c:scatterChart>
      <c:valAx>
        <c:axId val="121387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82671"/>
        <c:crosses val="autoZero"/>
        <c:crossBetween val="midCat"/>
      </c:valAx>
      <c:valAx>
        <c:axId val="12138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21387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EJERCICIO_2!$C$145:$C$188</c:f>
              <c:numCache>
                <c:formatCode>General</c:formatCode>
                <c:ptCount val="4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</c:numCache>
            </c:numRef>
          </c:xVal>
          <c:yVal>
            <c:numRef>
              <c:f>EJERCICIO_2!$D$145:$D$188</c:f>
              <c:numCache>
                <c:formatCode>General</c:formatCode>
                <c:ptCount val="44"/>
                <c:pt idx="0">
                  <c:v>0.5</c:v>
                </c:pt>
                <c:pt idx="1">
                  <c:v>1.9420463013067319</c:v>
                </c:pt>
                <c:pt idx="2">
                  <c:v>4.0635873283038695</c:v>
                </c:pt>
                <c:pt idx="3">
                  <c:v>6.3254753023414354</c:v>
                </c:pt>
                <c:pt idx="4">
                  <c:v>8.3896444773098029</c:v>
                </c:pt>
                <c:pt idx="5">
                  <c:v>10.120745787646094</c:v>
                </c:pt>
                <c:pt idx="6">
                  <c:v>11.501538578005844</c:v>
                </c:pt>
                <c:pt idx="7">
                  <c:v>12.568666302284328</c:v>
                </c:pt>
                <c:pt idx="8">
                  <c:v>13.376457278354817</c:v>
                </c:pt>
                <c:pt idx="9">
                  <c:v>13.979435159357793</c:v>
                </c:pt>
                <c:pt idx="10">
                  <c:v>14.425211993797507</c:v>
                </c:pt>
                <c:pt idx="11">
                  <c:v>14.752561384649631</c:v>
                </c:pt>
                <c:pt idx="12">
                  <c:v>14.991808142052934</c:v>
                </c:pt>
                <c:pt idx="13">
                  <c:v>15.166076670890526</c:v>
                </c:pt>
                <c:pt idx="14">
                  <c:v>15.292710417051737</c:v>
                </c:pt>
                <c:pt idx="15">
                  <c:v>15.384571989655701</c:v>
                </c:pt>
                <c:pt idx="16">
                  <c:v>15.451127339992992</c:v>
                </c:pt>
                <c:pt idx="17">
                  <c:v>15.499305173150461</c:v>
                </c:pt>
                <c:pt idx="18">
                  <c:v>15.534157724581702</c:v>
                </c:pt>
                <c:pt idx="19">
                  <c:v>15.559358989573184</c:v>
                </c:pt>
                <c:pt idx="20">
                  <c:v>15.577575544209612</c:v>
                </c:pt>
                <c:pt idx="21">
                  <c:v>15.590740104890299</c:v>
                </c:pt>
                <c:pt idx="22">
                  <c:v>15.60025210014231</c:v>
                </c:pt>
                <c:pt idx="23">
                  <c:v>15.60712409519099</c:v>
                </c:pt>
                <c:pt idx="24">
                  <c:v>15.61208836114343</c:v>
                </c:pt>
                <c:pt idx="25">
                  <c:v>15.615674268601072</c:v>
                </c:pt>
                <c:pt idx="26">
                  <c:v>15.618264405856559</c:v>
                </c:pt>
                <c:pt idx="27">
                  <c:v>15.620135224957156</c:v>
                </c:pt>
                <c:pt idx="28">
                  <c:v>15.621486457847395</c:v>
                </c:pt>
                <c:pt idx="29">
                  <c:v>15.622462393002703</c:v>
                </c:pt>
                <c:pt idx="30">
                  <c:v>15.623167258393343</c:v>
                </c:pt>
                <c:pt idx="31">
                  <c:v>15.623676340013381</c:v>
                </c:pt>
                <c:pt idx="32">
                  <c:v>15.62404401642091</c:v>
                </c:pt>
                <c:pt idx="33">
                  <c:v>15.624309563804498</c:v>
                </c:pt>
                <c:pt idx="34">
                  <c:v>15.624501349753269</c:v>
                </c:pt>
                <c:pt idx="35">
                  <c:v>15.624639862728348</c:v>
                </c:pt>
                <c:pt idx="36">
                  <c:v>15.624739900346965</c:v>
                </c:pt>
                <c:pt idx="37">
                  <c:v>15.624812149983317</c:v>
                </c:pt>
                <c:pt idx="38">
                  <c:v>15.624864330404096</c:v>
                </c:pt>
                <c:pt idx="39">
                  <c:v>15.624902016330241</c:v>
                </c:pt>
                <c:pt idx="40">
                  <c:v>15.624929233978357</c:v>
                </c:pt>
                <c:pt idx="41">
                  <c:v>15.624948891186808</c:v>
                </c:pt>
                <c:pt idx="42">
                  <c:v>15.624963088069041</c:v>
                </c:pt>
                <c:pt idx="43">
                  <c:v>15.624973341377814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AD-4E4E-B25A-350898031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050927"/>
        <c:axId val="963047567"/>
      </c:scatterChart>
      <c:valAx>
        <c:axId val="9630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47567"/>
        <c:crosses val="autoZero"/>
        <c:crossBetween val="midCat"/>
      </c:valAx>
      <c:valAx>
        <c:axId val="9630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Con</a:t>
            </a:r>
            <a:r>
              <a:rPr lang="es-BO" baseline="0"/>
              <a:t> h = 0,5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EJERCICIO_2!$C$145:$C$188</c:f>
              <c:numCache>
                <c:formatCode>General</c:formatCode>
                <c:ptCount val="4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</c:numCache>
            </c:numRef>
          </c:xVal>
          <c:yVal>
            <c:numRef>
              <c:f>EJERCICIO_2!$D$145:$D$188</c:f>
              <c:numCache>
                <c:formatCode>General</c:formatCode>
                <c:ptCount val="44"/>
                <c:pt idx="0">
                  <c:v>0.5</c:v>
                </c:pt>
                <c:pt idx="1">
                  <c:v>1.9420463013067319</c:v>
                </c:pt>
                <c:pt idx="2">
                  <c:v>4.0635873283038695</c:v>
                </c:pt>
                <c:pt idx="3">
                  <c:v>6.3254753023414354</c:v>
                </c:pt>
                <c:pt idx="4">
                  <c:v>8.3896444773098029</c:v>
                </c:pt>
                <c:pt idx="5">
                  <c:v>10.120745787646094</c:v>
                </c:pt>
                <c:pt idx="6">
                  <c:v>11.501538578005844</c:v>
                </c:pt>
                <c:pt idx="7">
                  <c:v>12.568666302284328</c:v>
                </c:pt>
                <c:pt idx="8">
                  <c:v>13.376457278354817</c:v>
                </c:pt>
                <c:pt idx="9">
                  <c:v>13.979435159357793</c:v>
                </c:pt>
                <c:pt idx="10">
                  <c:v>14.425211993797507</c:v>
                </c:pt>
                <c:pt idx="11">
                  <c:v>14.752561384649631</c:v>
                </c:pt>
                <c:pt idx="12">
                  <c:v>14.991808142052934</c:v>
                </c:pt>
                <c:pt idx="13">
                  <c:v>15.166076670890526</c:v>
                </c:pt>
                <c:pt idx="14">
                  <c:v>15.292710417051737</c:v>
                </c:pt>
                <c:pt idx="15">
                  <c:v>15.384571989655701</c:v>
                </c:pt>
                <c:pt idx="16">
                  <c:v>15.451127339992992</c:v>
                </c:pt>
                <c:pt idx="17">
                  <c:v>15.499305173150461</c:v>
                </c:pt>
                <c:pt idx="18">
                  <c:v>15.534157724581702</c:v>
                </c:pt>
                <c:pt idx="19">
                  <c:v>15.559358989573184</c:v>
                </c:pt>
                <c:pt idx="20">
                  <c:v>15.577575544209612</c:v>
                </c:pt>
                <c:pt idx="21">
                  <c:v>15.590740104890299</c:v>
                </c:pt>
                <c:pt idx="22">
                  <c:v>15.60025210014231</c:v>
                </c:pt>
                <c:pt idx="23">
                  <c:v>15.60712409519099</c:v>
                </c:pt>
                <c:pt idx="24">
                  <c:v>15.61208836114343</c:v>
                </c:pt>
                <c:pt idx="25">
                  <c:v>15.615674268601072</c:v>
                </c:pt>
                <c:pt idx="26">
                  <c:v>15.618264405856559</c:v>
                </c:pt>
                <c:pt idx="27">
                  <c:v>15.620135224957156</c:v>
                </c:pt>
                <c:pt idx="28">
                  <c:v>15.621486457847395</c:v>
                </c:pt>
                <c:pt idx="29">
                  <c:v>15.622462393002703</c:v>
                </c:pt>
                <c:pt idx="30">
                  <c:v>15.623167258393343</c:v>
                </c:pt>
                <c:pt idx="31">
                  <c:v>15.623676340013381</c:v>
                </c:pt>
                <c:pt idx="32">
                  <c:v>15.62404401642091</c:v>
                </c:pt>
                <c:pt idx="33">
                  <c:v>15.624309563804498</c:v>
                </c:pt>
                <c:pt idx="34">
                  <c:v>15.624501349753269</c:v>
                </c:pt>
                <c:pt idx="35">
                  <c:v>15.624639862728348</c:v>
                </c:pt>
                <c:pt idx="36">
                  <c:v>15.624739900346965</c:v>
                </c:pt>
                <c:pt idx="37">
                  <c:v>15.624812149983317</c:v>
                </c:pt>
                <c:pt idx="38">
                  <c:v>15.624864330404096</c:v>
                </c:pt>
                <c:pt idx="39">
                  <c:v>15.624902016330241</c:v>
                </c:pt>
                <c:pt idx="40">
                  <c:v>15.624929233978357</c:v>
                </c:pt>
                <c:pt idx="41">
                  <c:v>15.624948891186808</c:v>
                </c:pt>
                <c:pt idx="42">
                  <c:v>15.624963088069041</c:v>
                </c:pt>
                <c:pt idx="43">
                  <c:v>15.624973341377814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C-4A98-A253-4ABA86C0C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050927"/>
        <c:axId val="963047567"/>
      </c:scatterChart>
      <c:valAx>
        <c:axId val="96305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47567"/>
        <c:crosses val="autoZero"/>
        <c:crossBetween val="midCat"/>
      </c:valAx>
      <c:valAx>
        <c:axId val="96304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6305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6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373380</xdr:colOff>
      <xdr:row>3</xdr:row>
      <xdr:rowOff>53340</xdr:rowOff>
    </xdr:from>
    <xdr:to>
      <xdr:col>9</xdr:col>
      <xdr:colOff>769620</xdr:colOff>
      <xdr:row>13</xdr:row>
      <xdr:rowOff>117551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E69360-E02D-C646-5CE9-596E97A4E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" y="419100"/>
          <a:ext cx="6736080" cy="1893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211859</xdr:colOff>
      <xdr:row>16</xdr:row>
      <xdr:rowOff>25400</xdr:rowOff>
    </xdr:from>
    <xdr:ext cx="2026773" cy="490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459D82C-D3D2-6077-3B35-A2D39C772A87}"/>
                </a:ext>
              </a:extLst>
            </xdr:cNvPr>
            <xdr:cNvSpPr txBox="1"/>
          </xdr:nvSpPr>
          <xdr:spPr>
            <a:xfrm>
              <a:off x="3386859" y="2787650"/>
              <a:ext cx="2026773" cy="490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B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dm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dt</m:t>
                        </m:r>
                      </m:den>
                    </m:f>
                    <m:r>
                      <a:rPr lang="es-MX" sz="12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k</m:t>
                    </m:r>
                    <m:r>
                      <a:rPr lang="es-MX" sz="1200" b="0" i="0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p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3/4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es-MX" sz="12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m:rPr>
                                        <m:sty m:val="p"/>
                                      </m:rPr>
                                      <a:rPr lang="es-MX" sz="1200" b="0" i="0">
                                        <a:latin typeface="Cambria Math" panose="02040503050406030204" pitchFamily="18" charset="0"/>
                                      </a:rPr>
                                      <m:t>m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s-MX" sz="120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s-MX" sz="1200" b="0" i="0">
                                            <a:latin typeface="Cambria Math" panose="02040503050406030204" pitchFamily="18" charset="0"/>
                                          </a:rPr>
                                          <m:t>m</m:t>
                                        </m:r>
                                      </m:e>
                                      <m:sub>
                                        <m:r>
                                          <m:rPr>
                                            <m:sty m:val="p"/>
                                          </m:rPr>
                                          <a:rPr lang="es-MX" sz="1200" b="0" i="0">
                                            <a:latin typeface="Cambria Math" panose="02040503050406030204" pitchFamily="18" charset="0"/>
                                          </a:rPr>
                                          <m:t>max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200" b="0" i="0">
                                <a:latin typeface="Cambria Math" panose="02040503050406030204" pitchFamily="18" charset="0"/>
                              </a:rPr>
                              <m:t>1/4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s-BO" sz="1200" i="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459D82C-D3D2-6077-3B35-A2D39C772A87}"/>
                </a:ext>
              </a:extLst>
            </xdr:cNvPr>
            <xdr:cNvSpPr txBox="1"/>
          </xdr:nvSpPr>
          <xdr:spPr>
            <a:xfrm>
              <a:off x="3386859" y="2787650"/>
              <a:ext cx="2026773" cy="490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dm</a:t>
              </a:r>
              <a:r>
                <a:rPr lang="es-BO" sz="1200" b="0" i="0">
                  <a:latin typeface="Cambria Math" panose="02040503050406030204" pitchFamily="18" charset="0"/>
                </a:rPr>
                <a:t>/</a:t>
              </a:r>
              <a:r>
                <a:rPr lang="es-MX" sz="1200" b="0" i="0">
                  <a:latin typeface="Cambria Math" panose="02040503050406030204" pitchFamily="18" charset="0"/>
                </a:rPr>
                <a:t>dt=k m^(3/4) [1−(m/m_max )^(1/4) ]</a:t>
              </a:r>
              <a:endParaRPr lang="es-BO" sz="1200" i="0"/>
            </a:p>
          </xdr:txBody>
        </xdr:sp>
      </mc:Fallback>
    </mc:AlternateContent>
    <xdr:clientData/>
  </xdr:oneCellAnchor>
  <xdr:oneCellAnchor>
    <xdr:from>
      <xdr:col>3</xdr:col>
      <xdr:colOff>566616</xdr:colOff>
      <xdr:row>21</xdr:row>
      <xdr:rowOff>84503</xdr:rowOff>
    </xdr:from>
    <xdr:ext cx="992579" cy="2515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29B3CD9-7648-C4D7-FA20-83FB25837A2A}"/>
                </a:ext>
              </a:extLst>
            </xdr:cNvPr>
            <xdr:cNvSpPr txBox="1"/>
          </xdr:nvSpPr>
          <xdr:spPr>
            <a:xfrm>
              <a:off x="2940539" y="3718657"/>
              <a:ext cx="992579" cy="2515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k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0,3 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kg</m:t>
                        </m:r>
                      </m:e>
                      <m:sup>
                        <m:f>
                          <m:f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den>
                        </m:f>
                      </m:sup>
                    </m:sSup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í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𝑎</m:t>
                    </m:r>
                  </m:oMath>
                </m:oMathPara>
              </a14:m>
              <a:endParaRPr lang="es-BO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29B3CD9-7648-C4D7-FA20-83FB25837A2A}"/>
                </a:ext>
              </a:extLst>
            </xdr:cNvPr>
            <xdr:cNvSpPr txBox="1"/>
          </xdr:nvSpPr>
          <xdr:spPr>
            <a:xfrm>
              <a:off x="2940539" y="3718657"/>
              <a:ext cx="992579" cy="2515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0,3 kg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/𝑑í𝑎</a:t>
              </a:r>
              <a:endParaRPr lang="es-BO" sz="1100"/>
            </a:p>
          </xdr:txBody>
        </xdr:sp>
      </mc:Fallback>
    </mc:AlternateContent>
    <xdr:clientData/>
  </xdr:oneCellAnchor>
  <xdr:oneCellAnchor>
    <xdr:from>
      <xdr:col>3</xdr:col>
      <xdr:colOff>305777</xdr:colOff>
      <xdr:row>22</xdr:row>
      <xdr:rowOff>164122</xdr:rowOff>
    </xdr:from>
    <xdr:ext cx="95647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66E8823F-56CE-501D-43E0-BBE1EFCEE353}"/>
                </a:ext>
              </a:extLst>
            </xdr:cNvPr>
            <xdr:cNvSpPr txBox="1"/>
          </xdr:nvSpPr>
          <xdr:spPr>
            <a:xfrm>
              <a:off x="2679700" y="3979984"/>
              <a:ext cx="9564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s-MX" sz="1100" b="0" i="0">
                        <a:latin typeface="Cambria Math" panose="02040503050406030204" pitchFamily="18" charset="0"/>
                      </a:rPr>
                      <m:t>=300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kg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66E8823F-56CE-501D-43E0-BBE1EFCEE353}"/>
                </a:ext>
              </a:extLst>
            </xdr:cNvPr>
            <xdr:cNvSpPr txBox="1"/>
          </xdr:nvSpPr>
          <xdr:spPr>
            <a:xfrm>
              <a:off x="2679700" y="3979984"/>
              <a:ext cx="95647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m</a:t>
              </a:r>
              <a:r>
                <a:rPr lang="es-BO" sz="1100" b="0" i="0">
                  <a:latin typeface="Cambria Math" panose="02040503050406030204" pitchFamily="18" charset="0"/>
                </a:rPr>
                <a:t>_</a:t>
              </a:r>
              <a:r>
                <a:rPr lang="es-MX" sz="1100" b="0" i="0">
                  <a:latin typeface="Cambria Math" panose="02040503050406030204" pitchFamily="18" charset="0"/>
                </a:rPr>
                <a:t>max=300 kg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3</xdr:col>
      <xdr:colOff>311639</xdr:colOff>
      <xdr:row>24</xdr:row>
      <xdr:rowOff>6838</xdr:rowOff>
    </xdr:from>
    <xdr:ext cx="80720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E5564C8-AC9A-4E3D-9384-4F4F683D5DBF}"/>
                </a:ext>
              </a:extLst>
            </xdr:cNvPr>
            <xdr:cNvSpPr txBox="1"/>
          </xdr:nvSpPr>
          <xdr:spPr>
            <a:xfrm>
              <a:off x="2685562" y="4186115"/>
              <a:ext cx="80720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m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MX" sz="1100" b="0" i="0">
                        <a:latin typeface="Cambria Math" panose="02040503050406030204" pitchFamily="18" charset="0"/>
                      </a:rPr>
                      <m:t>=1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kg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1E5564C8-AC9A-4E3D-9384-4F4F683D5DBF}"/>
                </a:ext>
              </a:extLst>
            </xdr:cNvPr>
            <xdr:cNvSpPr txBox="1"/>
          </xdr:nvSpPr>
          <xdr:spPr>
            <a:xfrm>
              <a:off x="2685562" y="4186115"/>
              <a:ext cx="80720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m(0)=1 kg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2</xdr:col>
      <xdr:colOff>746369</xdr:colOff>
      <xdr:row>25</xdr:row>
      <xdr:rowOff>13676</xdr:rowOff>
    </xdr:from>
    <xdr:ext cx="165109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CB13FD-F8EB-410D-885A-5B308B2111E8}"/>
                </a:ext>
              </a:extLst>
            </xdr:cNvPr>
            <xdr:cNvSpPr txBox="1"/>
          </xdr:nvSpPr>
          <xdr:spPr>
            <a:xfrm>
              <a:off x="2328984" y="4374661"/>
              <a:ext cx="16510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Intervalo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:0≤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t</m:t>
                    </m:r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≤400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d</m:t>
                    </m:r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í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as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79CB13FD-F8EB-410D-885A-5B308B2111E8}"/>
                </a:ext>
              </a:extLst>
            </xdr:cNvPr>
            <xdr:cNvSpPr txBox="1"/>
          </xdr:nvSpPr>
          <xdr:spPr>
            <a:xfrm>
              <a:off x="2328984" y="4374661"/>
              <a:ext cx="165109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Intervalo:0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≤t≤400 días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3</xdr:col>
      <xdr:colOff>153377</xdr:colOff>
      <xdr:row>30</xdr:row>
      <xdr:rowOff>0</xdr:rowOff>
    </xdr:from>
    <xdr:ext cx="178933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81D29B3-5BD4-4EA0-8499-28FD40034DE6}"/>
                </a:ext>
              </a:extLst>
            </xdr:cNvPr>
            <xdr:cNvSpPr txBox="1"/>
          </xdr:nvSpPr>
          <xdr:spPr>
            <a:xfrm>
              <a:off x="2534627" y="5772150"/>
              <a:ext cx="178933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BO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latin typeface="Cambria Math" panose="02040503050406030204" pitchFamily="18" charset="0"/>
                        </a:rPr>
                        <m:t>m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latin typeface="Cambria Math" panose="02040503050406030204" pitchFamily="18" charset="0"/>
                        </a:rPr>
                        <m:t>n</m:t>
                      </m:r>
                      <m:r>
                        <a:rPr lang="es-MX" sz="1200" b="0" i="0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  <m:r>
                    <a:rPr lang="es-MX" sz="12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s-BO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m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n</m:t>
                      </m:r>
                    </m:sub>
                  </m:sSub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m:rPr>
                      <m:sty m:val="p"/>
                    </m:rP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h</m:t>
                  </m:r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m:rPr>
                      <m:sty m:val="p"/>
                    </m:rP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f</m:t>
                  </m:r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sSub>
                    <m:sSubPr>
                      <m:ctrlPr>
                        <a:rPr lang="es-BO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t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n</m:t>
                      </m:r>
                    </m:sub>
                  </m:sSub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, </m:t>
                  </m:r>
                  <m:sSub>
                    <m:sSubPr>
                      <m:ctrlPr>
                        <a:rPr lang="es-BO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m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n</m:t>
                      </m:r>
                    </m:sub>
                  </m:sSub>
                </m:oMath>
              </a14:m>
              <a:r>
                <a:rPr lang="es-BO" sz="1200" i="0"/>
                <a:t>)</a:t>
              </a: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281D29B3-5BD4-4EA0-8499-28FD40034DE6}"/>
                </a:ext>
              </a:extLst>
            </xdr:cNvPr>
            <xdr:cNvSpPr txBox="1"/>
          </xdr:nvSpPr>
          <xdr:spPr>
            <a:xfrm>
              <a:off x="2534627" y="5772150"/>
              <a:ext cx="178933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m</a:t>
              </a:r>
              <a:r>
                <a:rPr lang="es-BO" sz="1200" b="0" i="0">
                  <a:latin typeface="Cambria Math" panose="02040503050406030204" pitchFamily="18" charset="0"/>
                </a:rPr>
                <a:t>_(</a:t>
              </a:r>
              <a:r>
                <a:rPr lang="es-MX" sz="1200" b="0" i="0">
                  <a:latin typeface="Cambria Math" panose="02040503050406030204" pitchFamily="18" charset="0"/>
                </a:rPr>
                <a:t>n+1</a:t>
              </a:r>
              <a:r>
                <a:rPr lang="es-BO" sz="1200" b="0" i="0">
                  <a:latin typeface="Cambria Math" panose="02040503050406030204" pitchFamily="18" charset="0"/>
                </a:rPr>
                <a:t>)</a:t>
              </a:r>
              <a:r>
                <a:rPr lang="es-MX" sz="1200" b="0" i="0">
                  <a:latin typeface="Cambria Math" panose="02040503050406030204" pitchFamily="18" charset="0"/>
                </a:rPr>
                <a:t>=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s-BO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n+h∗f(t</a:t>
              </a:r>
              <a:r>
                <a:rPr lang="es-BO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  , 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</a:t>
              </a:r>
              <a:r>
                <a:rPr lang="es-BO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</a:t>
              </a:r>
              <a:r>
                <a:rPr lang="es-BO" sz="1200" i="0"/>
                <a:t>)</a:t>
              </a:r>
            </a:p>
          </xdr:txBody>
        </xdr:sp>
      </mc:Fallback>
    </mc:AlternateContent>
    <xdr:clientData/>
  </xdr:oneCellAnchor>
  <xdr:oneCellAnchor>
    <xdr:from>
      <xdr:col>3</xdr:col>
      <xdr:colOff>92675</xdr:colOff>
      <xdr:row>32</xdr:row>
      <xdr:rowOff>73758</xdr:rowOff>
    </xdr:from>
    <xdr:ext cx="2112053" cy="3464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12E3F57-7AA9-4B43-98BE-A80A285BA687}"/>
                </a:ext>
              </a:extLst>
            </xdr:cNvPr>
            <xdr:cNvSpPr txBox="1"/>
          </xdr:nvSpPr>
          <xdr:spPr>
            <a:xfrm>
              <a:off x="2466598" y="5343281"/>
              <a:ext cx="2112053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f(t</a:t>
              </a:r>
              <a:r>
                <a:rPr lang="es-MX" sz="12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, m)</a:t>
              </a:r>
              <a14:m>
                <m:oMath xmlns:m="http://schemas.openxmlformats.org/officeDocument/2006/math">
                  <m:r>
                    <a:rPr lang="es-MX" sz="12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=0,3 </m:t>
                  </m:r>
                  <m:sSup>
                    <m:sSupPr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s-MX" sz="12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m</m:t>
                      </m:r>
                    </m:e>
                    <m:sup>
                      <m:r>
                        <a:rPr lang="es-MX" sz="12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3/4</m:t>
                      </m:r>
                    </m:sup>
                  </m:sSup>
                  <m:d>
                    <m:dPr>
                      <m:begChr m:val="["/>
                      <m:endChr m:val="]"/>
                      <m:ctrlPr>
                        <a:rPr lang="es-MX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2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1−</m:t>
                      </m:r>
                      <m:sSup>
                        <m:sSupPr>
                          <m:ctrlPr>
                            <a:rPr lang="es-MX" sz="12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sSupPr>
                        <m:e>
                          <m:d>
                            <m:dPr>
                              <m:ctrlPr>
                                <a:rPr lang="es-MX" sz="12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dPr>
                            <m:e>
                              <m:f>
                                <m:fPr>
                                  <m:ctrlPr>
                                    <a:rPr lang="es-MX" sz="12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fPr>
                                <m:num>
                                  <m:r>
                                    <m:rPr>
                                      <m:sty m:val="p"/>
                                    </m:rPr>
                                    <a:rPr lang="es-MX" sz="1200" b="0" i="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m</m:t>
                                  </m:r>
                                </m:num>
                                <m:den>
                                  <m:r>
                                    <a:rPr lang="es-MX" sz="1200" b="0" i="0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300</m:t>
                                  </m:r>
                                </m:den>
                              </m:f>
                            </m:e>
                          </m:d>
                        </m:e>
                        <m:sup>
                          <m:r>
                            <a:rPr lang="es-MX" sz="1200" b="0" i="0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1/4</m:t>
                          </m:r>
                        </m:sup>
                      </m:sSup>
                    </m:e>
                  </m:d>
                </m:oMath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12E3F57-7AA9-4B43-98BE-A80A285BA687}"/>
                </a:ext>
              </a:extLst>
            </xdr:cNvPr>
            <xdr:cNvSpPr txBox="1"/>
          </xdr:nvSpPr>
          <xdr:spPr>
            <a:xfrm>
              <a:off x="2466598" y="5343281"/>
              <a:ext cx="2112053" cy="3464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f(t</a:t>
              </a:r>
              <a:r>
                <a:rPr lang="es-MX" sz="1200" b="0" i="0" baseline="0">
                  <a:latin typeface="Cambria Math" panose="02040503050406030204" pitchFamily="18" charset="0"/>
                  <a:ea typeface="Cambria Math" panose="02040503050406030204" pitchFamily="18" charset="0"/>
                </a:rPr>
                <a:t> , m)</a:t>
              </a:r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=0,3 m^(3/4) [1−(m/300)^(1/4) ]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100134</xdr:colOff>
      <xdr:row>68</xdr:row>
      <xdr:rowOff>1</xdr:rowOff>
    </xdr:from>
    <xdr:to>
      <xdr:col>5</xdr:col>
      <xdr:colOff>527050</xdr:colOff>
      <xdr:row>81</xdr:row>
      <xdr:rowOff>31750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CDCCFD4-36A2-3A18-69F8-090D59341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</xdr:col>
      <xdr:colOff>772886</xdr:colOff>
      <xdr:row>88</xdr:row>
      <xdr:rowOff>65314</xdr:rowOff>
    </xdr:from>
    <xdr:ext cx="2813078" cy="4126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D81033C6-4ACE-4A1F-BA45-65CF60789CD4}"/>
                </a:ext>
              </a:extLst>
            </xdr:cNvPr>
            <xdr:cNvSpPr txBox="1"/>
          </xdr:nvSpPr>
          <xdr:spPr>
            <a:xfrm>
              <a:off x="1567543" y="12257314"/>
              <a:ext cx="2813078" cy="412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t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n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, 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m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n</m:t>
                            </m:r>
                          </m:sub>
                        </m:sSub>
                      </m:e>
                    </m:d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=0,3 </m:t>
                    </m:r>
                    <m:sSubSup>
                      <m:sSubSup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n</m:t>
                        </m:r>
                      </m:sub>
                      <m:sup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3/4</m:t>
                        </m:r>
                      </m:sup>
                    </m:sSubSup>
                    <m:d>
                      <m:dPr>
                        <m:begChr m:val="["/>
                        <m:endChr m:val="]"/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1−</m:t>
                        </m:r>
                        <m:sSup>
                          <m:sSup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s-MX" sz="12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m:rPr>
                                            <m:sty m:val="p"/>
                                          </m:rPr>
                                          <a:rPr lang="es-MX" sz="1200" b="0" i="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m</m:t>
                                        </m:r>
                                      </m:e>
                                      <m:sub>
                                        <m:r>
                                          <m:rPr>
                                            <m:sty m:val="p"/>
                                          </m:rPr>
                                          <a:rPr lang="es-MX" sz="1200" b="0" i="0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n</m:t>
                                        </m:r>
                                      </m:sub>
                                    </m:sSub>
                                  </m:num>
                                  <m:den>
                                    <m:r>
                                      <a:rPr lang="es-MX" sz="1200" b="0" i="0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300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1/4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D81033C6-4ACE-4A1F-BA45-65CF60789CD4}"/>
                </a:ext>
              </a:extLst>
            </xdr:cNvPr>
            <xdr:cNvSpPr txBox="1"/>
          </xdr:nvSpPr>
          <xdr:spPr>
            <a:xfrm>
              <a:off x="1567543" y="12257314"/>
              <a:ext cx="2813078" cy="4126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k_1=f(t_n  , m_n )=0,3 m_n^(3/4) [1−(m_n/300)^(1/4) ]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544285</xdr:colOff>
      <xdr:row>94</xdr:row>
      <xdr:rowOff>2720</xdr:rowOff>
    </xdr:from>
    <xdr:ext cx="68230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5B3BE4D3-F3A9-3142-5B83-C3CA38E56312}"/>
                </a:ext>
              </a:extLst>
            </xdr:cNvPr>
            <xdr:cNvSpPr txBox="1"/>
          </xdr:nvSpPr>
          <xdr:spPr>
            <a:xfrm>
              <a:off x="3722914" y="13305063"/>
              <a:ext cx="68230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A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h</m:t>
                    </m:r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5B3BE4D3-F3A9-3142-5B83-C3CA38E56312}"/>
                </a:ext>
              </a:extLst>
            </xdr:cNvPr>
            <xdr:cNvSpPr txBox="1"/>
          </xdr:nvSpPr>
          <xdr:spPr>
            <a:xfrm>
              <a:off x="3722914" y="13305063"/>
              <a:ext cx="68230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A=t_n+h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533400</xdr:colOff>
      <xdr:row>95</xdr:row>
      <xdr:rowOff>8163</xdr:rowOff>
    </xdr:from>
    <xdr:ext cx="1045671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A57A620-DAD4-4FCE-B36B-2C5C32C45ACD}"/>
                </a:ext>
              </a:extLst>
            </xdr:cNvPr>
            <xdr:cNvSpPr txBox="1"/>
          </xdr:nvSpPr>
          <xdr:spPr>
            <a:xfrm>
              <a:off x="3712029" y="13495563"/>
              <a:ext cx="10456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B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h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</m:t>
                        </m:r>
                      </m:e>
                      <m:sub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FA57A620-DAD4-4FCE-B36B-2C5C32C45ACD}"/>
                </a:ext>
              </a:extLst>
            </xdr:cNvPr>
            <xdr:cNvSpPr txBox="1"/>
          </xdr:nvSpPr>
          <xdr:spPr>
            <a:xfrm>
              <a:off x="3712029" y="13495563"/>
              <a:ext cx="1045671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B=m_n+h∗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k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473528</xdr:colOff>
      <xdr:row>96</xdr:row>
      <xdr:rowOff>54429</xdr:rowOff>
    </xdr:from>
    <xdr:ext cx="2412392" cy="4044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B14CB22-0486-44F4-A1B1-3176583210B1}"/>
                </a:ext>
              </a:extLst>
            </xdr:cNvPr>
            <xdr:cNvSpPr txBox="1"/>
          </xdr:nvSpPr>
          <xdr:spPr>
            <a:xfrm>
              <a:off x="3652157" y="13726886"/>
              <a:ext cx="2412392" cy="404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A</m:t>
                        </m:r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</m:t>
                        </m:r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B</m:t>
                        </m:r>
                      </m:e>
                    </m:d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0,3 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3/4</m:t>
                        </m:r>
                      </m:sup>
                    </m:sSup>
                    <m:d>
                      <m:dPr>
                        <m:begChr m:val="["/>
                        <m:endChr m:val="]"/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1−</m:t>
                        </m:r>
                        <m:sSup>
                          <m:sSup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s-MX" sz="11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fPr>
                                  <m:num>
                                    <m:r>
                                      <m:rPr>
                                        <m:sty m:val="p"/>
                                      </m:rPr>
                                      <a:rPr lang="es-MX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B</m:t>
                                    </m:r>
                                  </m:num>
                                  <m:den>
                                    <m:r>
                                      <a:rPr lang="es-MX" sz="1100" b="0" i="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300</m:t>
                                    </m:r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1/4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B14CB22-0486-44F4-A1B1-3176583210B1}"/>
                </a:ext>
              </a:extLst>
            </xdr:cNvPr>
            <xdr:cNvSpPr txBox="1"/>
          </xdr:nvSpPr>
          <xdr:spPr>
            <a:xfrm>
              <a:off x="3652157" y="13726886"/>
              <a:ext cx="2412392" cy="4044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k_2=f(A, B)=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0,3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^(3/4) [1−(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/300)^(1/4) ]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277586</xdr:colOff>
      <xdr:row>101</xdr:row>
      <xdr:rowOff>174172</xdr:rowOff>
    </xdr:from>
    <xdr:ext cx="1651158" cy="3404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3F6697-5B76-4D13-8453-9B3BB5D44ABB}"/>
                </a:ext>
              </a:extLst>
            </xdr:cNvPr>
            <xdr:cNvSpPr txBox="1"/>
          </xdr:nvSpPr>
          <xdr:spPr>
            <a:xfrm>
              <a:off x="2661557" y="14771915"/>
              <a:ext cx="1651158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n</m:t>
                        </m:r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03F6697-5B76-4D13-8453-9B3BB5D44ABB}"/>
                </a:ext>
              </a:extLst>
            </xdr:cNvPr>
            <xdr:cNvSpPr txBox="1"/>
          </xdr:nvSpPr>
          <xdr:spPr>
            <a:xfrm>
              <a:off x="2661557" y="14771915"/>
              <a:ext cx="1651158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m_(n+1)=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m_n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+h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(k_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k_2 )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172650</xdr:colOff>
      <xdr:row>138</xdr:row>
      <xdr:rowOff>182777</xdr:rowOff>
    </xdr:from>
    <xdr:to>
      <xdr:col>5</xdr:col>
      <xdr:colOff>597241</xdr:colOff>
      <xdr:row>152</xdr:row>
      <xdr:rowOff>41189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5317A91-A651-BEA9-F8C5-482700C08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44450</xdr:colOff>
      <xdr:row>29</xdr:row>
      <xdr:rowOff>107950</xdr:rowOff>
    </xdr:from>
    <xdr:to>
      <xdr:col>5</xdr:col>
      <xdr:colOff>285750</xdr:colOff>
      <xdr:row>31</xdr:row>
      <xdr:rowOff>107950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FC16B6CA-C5CB-4E40-A638-9C3536CE67D1}"/>
            </a:ext>
          </a:extLst>
        </xdr:cNvPr>
        <xdr:cNvSpPr/>
      </xdr:nvSpPr>
      <xdr:spPr>
        <a:xfrm>
          <a:off x="2425700" y="5346700"/>
          <a:ext cx="1828800" cy="368300"/>
        </a:xfrm>
        <a:prstGeom prst="rect">
          <a:avLst/>
        </a:prstGeom>
        <a:noFill/>
        <a:ln w="38100">
          <a:solidFill>
            <a:srgbClr val="69DDB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3</xdr:col>
      <xdr:colOff>228600</xdr:colOff>
      <xdr:row>101</xdr:row>
      <xdr:rowOff>127000</xdr:rowOff>
    </xdr:from>
    <xdr:to>
      <xdr:col>5</xdr:col>
      <xdr:colOff>400050</xdr:colOff>
      <xdr:row>104</xdr:row>
      <xdr:rowOff>31750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9281702F-920D-4975-A261-A85002879472}"/>
            </a:ext>
          </a:extLst>
        </xdr:cNvPr>
        <xdr:cNvSpPr/>
      </xdr:nvSpPr>
      <xdr:spPr>
        <a:xfrm>
          <a:off x="2609850" y="14655800"/>
          <a:ext cx="1758950" cy="457200"/>
        </a:xfrm>
        <a:prstGeom prst="rect">
          <a:avLst/>
        </a:prstGeom>
        <a:noFill/>
        <a:ln w="38100">
          <a:solidFill>
            <a:srgbClr val="69DDB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6</xdr:col>
      <xdr:colOff>120650</xdr:colOff>
      <xdr:row>68</xdr:row>
      <xdr:rowOff>0</xdr:rowOff>
    </xdr:from>
    <xdr:to>
      <xdr:col>10</xdr:col>
      <xdr:colOff>558800</xdr:colOff>
      <xdr:row>81</xdr:row>
      <xdr:rowOff>38100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9D109C4-026B-447B-8834-1B91AD19A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209550</xdr:colOff>
      <xdr:row>68</xdr:row>
      <xdr:rowOff>6350</xdr:rowOff>
    </xdr:from>
    <xdr:to>
      <xdr:col>15</xdr:col>
      <xdr:colOff>666750</xdr:colOff>
      <xdr:row>81</xdr:row>
      <xdr:rowOff>50800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8E8B58A-DEA7-4052-9385-E64F435667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219676</xdr:colOff>
      <xdr:row>139</xdr:row>
      <xdr:rowOff>0</xdr:rowOff>
    </xdr:from>
    <xdr:to>
      <xdr:col>10</xdr:col>
      <xdr:colOff>644267</xdr:colOff>
      <xdr:row>152</xdr:row>
      <xdr:rowOff>43763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0B65FFE-D5D4-47C0-BC00-10C7B7E19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315784</xdr:colOff>
      <xdr:row>138</xdr:row>
      <xdr:rowOff>171621</xdr:rowOff>
    </xdr:from>
    <xdr:to>
      <xdr:col>15</xdr:col>
      <xdr:colOff>740375</xdr:colOff>
      <xdr:row>152</xdr:row>
      <xdr:rowOff>30033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73FA7989-6F90-4725-8F01-AB280597B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EF0CD463-D004-D5D7-0232-ED3ACC18FEF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6735115" cy="454405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1.9082E-17</cdr:x>
      <cdr:y>2.42861E-17</cdr:y>
    </cdr:from>
    <cdr:to>
      <cdr:x>1</cdr:x>
      <cdr:y>1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3E361752-7AE9-AFAA-3824-C047E0330F1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595988" cy="244766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80A0E264-6E88-018F-A23D-B674AC5C692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6754168" cy="4515480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C7B83C6-1424-74C8-FEA1-FD98879CD06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7192379" cy="4801270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2A132E6D-2B96-0BF4-5B29-34B651A401F7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649113" cy="3781953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211859</xdr:colOff>
      <xdr:row>16</xdr:row>
      <xdr:rowOff>25400</xdr:rowOff>
    </xdr:from>
    <xdr:ext cx="1253164" cy="3506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9C28F0E-5B5C-4D1A-9387-52530793D363}"/>
                </a:ext>
              </a:extLst>
            </xdr:cNvPr>
            <xdr:cNvSpPr txBox="1"/>
          </xdr:nvSpPr>
          <xdr:spPr>
            <a:xfrm>
              <a:off x="3386859" y="3054350"/>
              <a:ext cx="1253164" cy="350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BO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dw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dt</m:t>
                        </m:r>
                      </m:den>
                    </m:f>
                    <m:r>
                      <a:rPr lang="es-MX" sz="12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a</m:t>
                    </m:r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w</m:t>
                        </m:r>
                      </m:e>
                      <m:sup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2/3</m:t>
                        </m:r>
                      </m:sup>
                    </m:sSup>
                    <m:r>
                      <a:rPr lang="es-MX" sz="12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bw</m:t>
                    </m:r>
                  </m:oMath>
                </m:oMathPara>
              </a14:m>
              <a:endParaRPr lang="es-BO" sz="1200" i="0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79C28F0E-5B5C-4D1A-9387-52530793D363}"/>
                </a:ext>
              </a:extLst>
            </xdr:cNvPr>
            <xdr:cNvSpPr txBox="1"/>
          </xdr:nvSpPr>
          <xdr:spPr>
            <a:xfrm>
              <a:off x="3386859" y="3054350"/>
              <a:ext cx="1253164" cy="3506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dw</a:t>
              </a:r>
              <a:r>
                <a:rPr lang="es-BO" sz="1200" b="0" i="0">
                  <a:latin typeface="Cambria Math" panose="02040503050406030204" pitchFamily="18" charset="0"/>
                </a:rPr>
                <a:t>/</a:t>
              </a:r>
              <a:r>
                <a:rPr lang="es-MX" sz="1200" b="0" i="0">
                  <a:latin typeface="Cambria Math" panose="02040503050406030204" pitchFamily="18" charset="0"/>
                </a:rPr>
                <a:t>dt=a〖 w〗^(2/3)−bw</a:t>
              </a:r>
              <a:endParaRPr lang="es-BO" sz="1200" i="0"/>
            </a:p>
          </xdr:txBody>
        </xdr:sp>
      </mc:Fallback>
    </mc:AlternateContent>
    <xdr:clientData/>
  </xdr:oneCellAnchor>
  <xdr:oneCellAnchor>
    <xdr:from>
      <xdr:col>3</xdr:col>
      <xdr:colOff>566616</xdr:colOff>
      <xdr:row>21</xdr:row>
      <xdr:rowOff>84503</xdr:rowOff>
    </xdr:from>
    <xdr:ext cx="605550" cy="252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03B628A-A9C4-4916-BF11-1AD4F5C72BE5}"/>
                </a:ext>
              </a:extLst>
            </xdr:cNvPr>
            <xdr:cNvSpPr txBox="1"/>
          </xdr:nvSpPr>
          <xdr:spPr>
            <a:xfrm>
              <a:off x="2947866" y="4034203"/>
              <a:ext cx="605550" cy="252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a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5 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lb</m:t>
                        </m:r>
                        <m: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e>
                      <m:sup>
                        <m:f>
                          <m:f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num>
                          <m:den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den>
                        </m:f>
                      </m:sup>
                    </m:sSup>
                  </m:oMath>
                </m:oMathPara>
              </a14:m>
              <a:endParaRPr lang="es-BO" sz="11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03B628A-A9C4-4916-BF11-1AD4F5C72BE5}"/>
                </a:ext>
              </a:extLst>
            </xdr:cNvPr>
            <xdr:cNvSpPr txBox="1"/>
          </xdr:nvSpPr>
          <xdr:spPr>
            <a:xfrm>
              <a:off x="2947866" y="4034203"/>
              <a:ext cx="605550" cy="252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a=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 lb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〗^(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1/3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es-BO" sz="1100"/>
            </a:p>
          </xdr:txBody>
        </xdr:sp>
      </mc:Fallback>
    </mc:AlternateContent>
    <xdr:clientData/>
  </xdr:oneCellAnchor>
  <xdr:oneCellAnchor>
    <xdr:from>
      <xdr:col>3</xdr:col>
      <xdr:colOff>547077</xdr:colOff>
      <xdr:row>22</xdr:row>
      <xdr:rowOff>183172</xdr:rowOff>
    </xdr:from>
    <xdr:ext cx="819520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ED369B4-6312-42AD-9407-AC1FD0E00653}"/>
                </a:ext>
              </a:extLst>
            </xdr:cNvPr>
            <xdr:cNvSpPr txBox="1"/>
          </xdr:nvSpPr>
          <xdr:spPr>
            <a:xfrm>
              <a:off x="2928327" y="4317022"/>
              <a:ext cx="819520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b</m:t>
                    </m:r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=2 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day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8ED369B4-6312-42AD-9407-AC1FD0E00653}"/>
                </a:ext>
              </a:extLst>
            </xdr:cNvPr>
            <xdr:cNvSpPr txBox="1"/>
          </xdr:nvSpPr>
          <xdr:spPr>
            <a:xfrm>
              <a:off x="2928327" y="4317022"/>
              <a:ext cx="819520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b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=2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 day〗^(−1)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330689</xdr:colOff>
      <xdr:row>24</xdr:row>
      <xdr:rowOff>6838</xdr:rowOff>
    </xdr:from>
    <xdr:ext cx="167924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DD28DD8-7D17-412E-8A88-AC7E92750D35}"/>
                </a:ext>
              </a:extLst>
            </xdr:cNvPr>
            <xdr:cNvSpPr txBox="1"/>
          </xdr:nvSpPr>
          <xdr:spPr>
            <a:xfrm>
              <a:off x="2711939" y="4508988"/>
              <a:ext cx="16792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w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d>
                    <m:r>
                      <a:rPr lang="es-MX" sz="1100" b="0" i="0">
                        <a:latin typeface="Cambria Math" panose="02040503050406030204" pitchFamily="18" charset="0"/>
                      </a:rPr>
                      <m:t>=0,5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lb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(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peso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inicial</m:t>
                    </m:r>
                    <m:r>
                      <a:rPr lang="es-MX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7DD28DD8-7D17-412E-8A88-AC7E92750D35}"/>
                </a:ext>
              </a:extLst>
            </xdr:cNvPr>
            <xdr:cNvSpPr txBox="1"/>
          </xdr:nvSpPr>
          <xdr:spPr>
            <a:xfrm>
              <a:off x="2711939" y="4508988"/>
              <a:ext cx="167924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w(0)=0,5 lb (peso inicial)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3</xdr:col>
      <xdr:colOff>153377</xdr:colOff>
      <xdr:row>51</xdr:row>
      <xdr:rowOff>0</xdr:rowOff>
    </xdr:from>
    <xdr:ext cx="177882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593D28-D736-4D36-B629-96C2AA25A3A2}"/>
                </a:ext>
              </a:extLst>
            </xdr:cNvPr>
            <xdr:cNvSpPr txBox="1"/>
          </xdr:nvSpPr>
          <xdr:spPr>
            <a:xfrm>
              <a:off x="2534627" y="9556750"/>
              <a:ext cx="17788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s-BO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latin typeface="Cambria Math" panose="02040503050406030204" pitchFamily="18" charset="0"/>
                        </a:rPr>
                        <m:t>w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latin typeface="Cambria Math" panose="02040503050406030204" pitchFamily="18" charset="0"/>
                        </a:rPr>
                        <m:t>n</m:t>
                      </m:r>
                      <m:r>
                        <a:rPr lang="es-MX" sz="1200" b="0" i="0">
                          <a:latin typeface="Cambria Math" panose="02040503050406030204" pitchFamily="18" charset="0"/>
                        </a:rPr>
                        <m:t>+1</m:t>
                      </m:r>
                    </m:sub>
                  </m:sSub>
                  <m:r>
                    <a:rPr lang="es-MX" sz="1200" b="0" i="0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s-BO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w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n</m:t>
                      </m:r>
                    </m:sub>
                  </m:sSub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m:rPr>
                      <m:sty m:val="p"/>
                    </m:rP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h</m:t>
                  </m:r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r>
                    <m:rPr>
                      <m:sty m:val="p"/>
                    </m:rP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f</m:t>
                  </m:r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(</m:t>
                  </m:r>
                  <m:sSub>
                    <m:sSubPr>
                      <m:ctrlPr>
                        <a:rPr lang="es-BO" sz="12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sSub>
                        <m:sSubPr>
                          <m:ctrlPr>
                            <a:rPr lang="es-BO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m:rPr>
                              <m:sty m:val="p"/>
                            </m:rPr>
                            <a:rPr lang="es-MX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t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s-MX" sz="1100" b="0" i="0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n</m:t>
                          </m:r>
                        </m:sub>
                      </m:sSub>
                      <m:r>
                        <a:rPr lang="es-MX" sz="11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,</m:t>
                      </m:r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w</m:t>
                      </m:r>
                    </m:e>
                    <m:sub>
                      <m:r>
                        <m:rPr>
                          <m:sty m:val="p"/>
                        </m:rPr>
                        <a:rPr lang="es-MX" sz="1200" b="0" i="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n</m:t>
                      </m:r>
                    </m:sub>
                  </m:sSub>
                  <m:r>
                    <a:rPr lang="es-MX" sz="1200" b="0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s-BO" sz="1200" i="0"/>
                <a:t>)</a:t>
              </a:r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2B593D28-D736-4D36-B629-96C2AA25A3A2}"/>
                </a:ext>
              </a:extLst>
            </xdr:cNvPr>
            <xdr:cNvSpPr txBox="1"/>
          </xdr:nvSpPr>
          <xdr:spPr>
            <a:xfrm>
              <a:off x="2534627" y="9556750"/>
              <a:ext cx="177882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w</a:t>
              </a:r>
              <a:r>
                <a:rPr lang="es-BO" sz="1200" b="0" i="0">
                  <a:latin typeface="Cambria Math" panose="02040503050406030204" pitchFamily="18" charset="0"/>
                </a:rPr>
                <a:t>_(</a:t>
              </a:r>
              <a:r>
                <a:rPr lang="es-MX" sz="1200" b="0" i="0">
                  <a:latin typeface="Cambria Math" panose="02040503050406030204" pitchFamily="18" charset="0"/>
                </a:rPr>
                <a:t>n+1</a:t>
              </a:r>
              <a:r>
                <a:rPr lang="es-BO" sz="1200" b="0" i="0">
                  <a:latin typeface="Cambria Math" panose="02040503050406030204" pitchFamily="18" charset="0"/>
                </a:rPr>
                <a:t>)</a:t>
              </a:r>
              <a:r>
                <a:rPr lang="es-MX" sz="1200" b="0" i="0">
                  <a:latin typeface="Cambria Math" panose="02040503050406030204" pitchFamily="18" charset="0"/>
                </a:rPr>
                <a:t>=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w</a:t>
              </a:r>
              <a:r>
                <a:rPr lang="es-BO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n+h∗f(</a:t>
              </a:r>
              <a:r>
                <a:rPr lang="es-BO" sz="12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t</a:t>
              </a:r>
              <a:r>
                <a:rPr lang="es-B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  ,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w</a:t>
              </a:r>
              <a:r>
                <a:rPr lang="es-BO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n  </a:t>
              </a:r>
              <a:r>
                <a:rPr lang="es-BO" sz="1200" i="0"/>
                <a:t>)</a:t>
              </a:r>
            </a:p>
          </xdr:txBody>
        </xdr:sp>
      </mc:Fallback>
    </mc:AlternateContent>
    <xdr:clientData/>
  </xdr:oneCellAnchor>
  <xdr:oneCellAnchor>
    <xdr:from>
      <xdr:col>3</xdr:col>
      <xdr:colOff>16475</xdr:colOff>
      <xdr:row>53</xdr:row>
      <xdr:rowOff>149958</xdr:rowOff>
    </xdr:from>
    <xdr:ext cx="2359364" cy="1915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208D634-1194-4C41-877F-9E0ECA77CDA6}"/>
                </a:ext>
              </a:extLst>
            </xdr:cNvPr>
            <xdr:cNvSpPr txBox="1"/>
          </xdr:nvSpPr>
          <xdr:spPr>
            <a:xfrm>
              <a:off x="2397725" y="10075008"/>
              <a:ext cx="2359364" cy="191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t</m:t>
                        </m:r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,</m:t>
                        </m:r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w</m:t>
                        </m:r>
                      </m:e>
                    </m:d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aw</m:t>
                        </m:r>
                      </m:e>
                      <m:sup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2/3</m:t>
                        </m:r>
                      </m:sup>
                    </m:sSup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bw</m:t>
                    </m:r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2/3</m:t>
                        </m:r>
                      </m:sup>
                    </m:sSup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w</m:t>
                    </m:r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A208D634-1194-4C41-877F-9E0ECA77CDA6}"/>
                </a:ext>
              </a:extLst>
            </xdr:cNvPr>
            <xdr:cNvSpPr txBox="1"/>
          </xdr:nvSpPr>
          <xdr:spPr>
            <a:xfrm>
              <a:off x="2397725" y="10075008"/>
              <a:ext cx="2359364" cy="1915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f(t ,w)=aw^(2/3)−bw=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w〗^(2/3)−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474436</xdr:colOff>
      <xdr:row>123</xdr:row>
      <xdr:rowOff>122464</xdr:rowOff>
    </xdr:from>
    <xdr:ext cx="2040174" cy="2194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15FB7CC-6C1F-4BEC-B575-E643B7F62F58}"/>
                </a:ext>
              </a:extLst>
            </xdr:cNvPr>
            <xdr:cNvSpPr txBox="1"/>
          </xdr:nvSpPr>
          <xdr:spPr>
            <a:xfrm>
              <a:off x="2061936" y="19337564"/>
              <a:ext cx="2040174" cy="2194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t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n</m:t>
                            </m:r>
                          </m:sub>
                        </m:sSub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, </m:t>
                        </m:r>
                        <m:sSub>
                          <m:sSubPr>
                            <m:ctrlPr>
                              <a:rPr lang="es-MX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w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s-MX" sz="1200" b="0" i="0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n</m:t>
                            </m:r>
                          </m:sub>
                        </m:sSub>
                      </m:e>
                    </m:d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MX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  <m:r>
                          <m:rPr>
                            <m:sty m:val="p"/>
                          </m:rP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sub>
                      <m:sup>
                        <m: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2/3</m:t>
                        </m:r>
                      </m:sup>
                    </m:sSubSup>
                    <m:r>
                      <a:rPr lang="es-MX" sz="12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s-MX" sz="12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2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sub>
                    </m:sSub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015FB7CC-6C1F-4BEC-B575-E643B7F62F58}"/>
                </a:ext>
              </a:extLst>
            </xdr:cNvPr>
            <xdr:cNvSpPr txBox="1"/>
          </xdr:nvSpPr>
          <xdr:spPr>
            <a:xfrm>
              <a:off x="2061936" y="19337564"/>
              <a:ext cx="2040174" cy="2194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k_1=f(t_n  , w_n )=</a:t>
              </a:r>
              <a:r>
                <a:rPr lang="es-MX" sz="12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〖5w〗_n^(2/3)−2w_n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544285</xdr:colOff>
      <xdr:row>129</xdr:row>
      <xdr:rowOff>2720</xdr:rowOff>
    </xdr:from>
    <xdr:ext cx="68230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74E5F69-771E-4468-A19C-D99814BCB91F}"/>
                </a:ext>
              </a:extLst>
            </xdr:cNvPr>
            <xdr:cNvSpPr txBox="1"/>
          </xdr:nvSpPr>
          <xdr:spPr>
            <a:xfrm>
              <a:off x="3714205" y="13154840"/>
              <a:ext cx="68230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A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t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h</m:t>
                    </m:r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B74E5F69-771E-4468-A19C-D99814BCB91F}"/>
                </a:ext>
              </a:extLst>
            </xdr:cNvPr>
            <xdr:cNvSpPr txBox="1"/>
          </xdr:nvSpPr>
          <xdr:spPr>
            <a:xfrm>
              <a:off x="3714205" y="13154840"/>
              <a:ext cx="68230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A=t_n+h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533400</xdr:colOff>
      <xdr:row>130</xdr:row>
      <xdr:rowOff>8163</xdr:rowOff>
    </xdr:from>
    <xdr:ext cx="999248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29E0A0A-E53E-4147-883D-2B80B13CBD05}"/>
                </a:ext>
              </a:extLst>
            </xdr:cNvPr>
            <xdr:cNvSpPr txBox="1"/>
          </xdr:nvSpPr>
          <xdr:spPr>
            <a:xfrm>
              <a:off x="3708400" y="20512313"/>
              <a:ext cx="99924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B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h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∗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k</m:t>
                        </m:r>
                      </m:e>
                      <m:sub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C29E0A0A-E53E-4147-883D-2B80B13CBD05}"/>
                </a:ext>
              </a:extLst>
            </xdr:cNvPr>
            <xdr:cNvSpPr txBox="1"/>
          </xdr:nvSpPr>
          <xdr:spPr>
            <a:xfrm>
              <a:off x="3708400" y="20512313"/>
              <a:ext cx="999248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B=w_n+h∗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k_1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486228</xdr:colOff>
      <xdr:row>131</xdr:row>
      <xdr:rowOff>168729</xdr:rowOff>
    </xdr:from>
    <xdr:ext cx="1637628" cy="1756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ABCF834E-9CB7-4ACD-882F-ECC7E2A103C8}"/>
                </a:ext>
              </a:extLst>
            </xdr:cNvPr>
            <xdr:cNvSpPr txBox="1"/>
          </xdr:nvSpPr>
          <xdr:spPr>
            <a:xfrm>
              <a:off x="3661228" y="20857029"/>
              <a:ext cx="1637628" cy="175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k</m:t>
                        </m:r>
                      </m:e>
                      <m:sub>
                        <m: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f</m:t>
                    </m:r>
                    <m:d>
                      <m:dPr>
                        <m:ctrlPr>
                          <a:rPr lang="es-MX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A</m:t>
                        </m:r>
                        <m: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, 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B</m:t>
                        </m:r>
                      </m:e>
                    </m:d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=5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2/3</m:t>
                        </m:r>
                      </m:sup>
                    </m:sSup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−2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B</m:t>
                    </m:r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ABCF834E-9CB7-4ACD-882F-ECC7E2A103C8}"/>
                </a:ext>
              </a:extLst>
            </xdr:cNvPr>
            <xdr:cNvSpPr txBox="1"/>
          </xdr:nvSpPr>
          <xdr:spPr>
            <a:xfrm>
              <a:off x="3661228" y="20857029"/>
              <a:ext cx="1637628" cy="1756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k_2=f(A, B)=5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B^(2/3)−2B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oneCellAnchor>
    <xdr:from>
      <xdr:col>3</xdr:col>
      <xdr:colOff>277586</xdr:colOff>
      <xdr:row>136</xdr:row>
      <xdr:rowOff>174172</xdr:rowOff>
    </xdr:from>
    <xdr:ext cx="1651158" cy="3404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B936BC6B-39ED-4CC0-BD8F-20F76175593E}"/>
                </a:ext>
              </a:extLst>
            </xdr:cNvPr>
            <xdr:cNvSpPr txBox="1"/>
          </xdr:nvSpPr>
          <xdr:spPr>
            <a:xfrm>
              <a:off x="2655026" y="14606452"/>
              <a:ext cx="1651158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n</m:t>
                        </m:r>
                        <m:r>
                          <a:rPr lang="es-MX" sz="12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MX" sz="12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h</m:t>
                        </m:r>
                      </m:num>
                      <m:den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MX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k</m:t>
                            </m:r>
                          </m:e>
                          <m:sub>
                            <m:r>
                              <a:rPr lang="es-MX" sz="1100" b="0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e>
                    </m:d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B936BC6B-39ED-4CC0-BD8F-20F76175593E}"/>
                </a:ext>
              </a:extLst>
            </xdr:cNvPr>
            <xdr:cNvSpPr txBox="1"/>
          </xdr:nvSpPr>
          <xdr:spPr>
            <a:xfrm>
              <a:off x="2655026" y="14606452"/>
              <a:ext cx="1651158" cy="3404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w_(n+1)=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w_n+h/2 (k_1+k_2 )  </a:t>
              </a:r>
              <a:endParaRPr lang="es-BO" sz="12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3</xdr:col>
      <xdr:colOff>44450</xdr:colOff>
      <xdr:row>50</xdr:row>
      <xdr:rowOff>133350</xdr:rowOff>
    </xdr:from>
    <xdr:to>
      <xdr:col>5</xdr:col>
      <xdr:colOff>381000</xdr:colOff>
      <xdr:row>52</xdr:row>
      <xdr:rowOff>107950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8A63C23-9BD0-46AB-8B48-9546D080290C}"/>
            </a:ext>
          </a:extLst>
        </xdr:cNvPr>
        <xdr:cNvSpPr/>
      </xdr:nvSpPr>
      <xdr:spPr>
        <a:xfrm>
          <a:off x="2425700" y="9505950"/>
          <a:ext cx="1924050" cy="342900"/>
        </a:xfrm>
        <a:prstGeom prst="rect">
          <a:avLst/>
        </a:prstGeom>
        <a:noFill/>
        <a:ln w="38100">
          <a:solidFill>
            <a:srgbClr val="69DDB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3</xdr:col>
      <xdr:colOff>228600</xdr:colOff>
      <xdr:row>136</xdr:row>
      <xdr:rowOff>127000</xdr:rowOff>
    </xdr:from>
    <xdr:to>
      <xdr:col>5</xdr:col>
      <xdr:colOff>400050</xdr:colOff>
      <xdr:row>139</xdr:row>
      <xdr:rowOff>31750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2188C989-F7B6-4FF0-BFE7-2024309CA3CB}"/>
            </a:ext>
          </a:extLst>
        </xdr:cNvPr>
        <xdr:cNvSpPr/>
      </xdr:nvSpPr>
      <xdr:spPr>
        <a:xfrm>
          <a:off x="2606040" y="14559280"/>
          <a:ext cx="1756410" cy="453390"/>
        </a:xfrm>
        <a:prstGeom prst="rect">
          <a:avLst/>
        </a:prstGeom>
        <a:noFill/>
        <a:ln w="38100">
          <a:solidFill>
            <a:srgbClr val="69DDB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121920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677A7CB1-8FA7-0537-2B2D-0972B5BB4E96}"/>
            </a:ext>
          </a:extLst>
        </xdr:cNvPr>
        <xdr:cNvSpPr>
          <a:spLocks noChangeAspect="1" noChangeArrowheads="1"/>
        </xdr:cNvSpPr>
      </xdr:nvSpPr>
      <xdr:spPr bwMode="auto">
        <a:xfrm>
          <a:off x="316992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304800</xdr:colOff>
      <xdr:row>5</xdr:row>
      <xdr:rowOff>121920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B4709636-B109-741E-1B8E-00EFA1F2138D}"/>
            </a:ext>
          </a:extLst>
        </xdr:cNvPr>
        <xdr:cNvSpPr>
          <a:spLocks noChangeAspect="1" noChangeArrowheads="1"/>
        </xdr:cNvSpPr>
      </xdr:nvSpPr>
      <xdr:spPr bwMode="auto">
        <a:xfrm>
          <a:off x="158496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419100</xdr:colOff>
      <xdr:row>3</xdr:row>
      <xdr:rowOff>61092</xdr:rowOff>
    </xdr:from>
    <xdr:to>
      <xdr:col>9</xdr:col>
      <xdr:colOff>550513</xdr:colOff>
      <xdr:row>13</xdr:row>
      <xdr:rowOff>57501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48BFBB6-374D-37FE-CC08-8D38A0FD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850" y="696092"/>
          <a:ext cx="6481413" cy="1837909"/>
        </a:xfrm>
        <a:prstGeom prst="rect">
          <a:avLst/>
        </a:prstGeom>
      </xdr:spPr>
    </xdr:pic>
    <xdr:clientData/>
  </xdr:twoCellAnchor>
  <xdr:oneCellAnchor>
    <xdr:from>
      <xdr:col>3</xdr:col>
      <xdr:colOff>457200</xdr:colOff>
      <xdr:row>28</xdr:row>
      <xdr:rowOff>107950</xdr:rowOff>
    </xdr:from>
    <xdr:ext cx="481222" cy="3214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95E9B14C-EFB5-4E8A-9591-9726835DA41D}"/>
                </a:ext>
              </a:extLst>
            </xdr:cNvPr>
            <xdr:cNvSpPr txBox="1"/>
          </xdr:nvSpPr>
          <xdr:spPr>
            <a:xfrm>
              <a:off x="2838450" y="5346700"/>
              <a:ext cx="481222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s-B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dw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dt</m:t>
                        </m:r>
                      </m:den>
                    </m:f>
                    <m:r>
                      <a:rPr lang="es-MX" sz="1100" b="0" i="0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20" name="CuadroTexto 19">
              <a:extLst>
                <a:ext uri="{FF2B5EF4-FFF2-40B4-BE49-F238E27FC236}">
                  <a16:creationId xmlns:a16="http://schemas.microsoft.com/office/drawing/2014/main" id="{95E9B14C-EFB5-4E8A-9591-9726835DA41D}"/>
                </a:ext>
              </a:extLst>
            </xdr:cNvPr>
            <xdr:cNvSpPr txBox="1"/>
          </xdr:nvSpPr>
          <xdr:spPr>
            <a:xfrm>
              <a:off x="2838450" y="5346700"/>
              <a:ext cx="481222" cy="3214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dw</a:t>
              </a:r>
              <a:r>
                <a:rPr lang="es-BO" sz="1100" b="0" i="0">
                  <a:latin typeface="Cambria Math" panose="02040503050406030204" pitchFamily="18" charset="0"/>
                </a:rPr>
                <a:t>/</a:t>
              </a:r>
              <a:r>
                <a:rPr lang="es-MX" sz="1100" b="0" i="0">
                  <a:latin typeface="Cambria Math" panose="02040503050406030204" pitchFamily="18" charset="0"/>
                </a:rPr>
                <a:t>dt=0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2</xdr:col>
      <xdr:colOff>654050</xdr:colOff>
      <xdr:row>30</xdr:row>
      <xdr:rowOff>158750</xdr:rowOff>
    </xdr:from>
    <xdr:ext cx="1099916" cy="1987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CD7FE0F3-B7A8-425D-8EDC-AD451EC32C09}"/>
                </a:ext>
              </a:extLst>
            </xdr:cNvPr>
            <xdr:cNvSpPr txBox="1"/>
          </xdr:nvSpPr>
          <xdr:spPr>
            <a:xfrm>
              <a:off x="2241550" y="5765800"/>
              <a:ext cx="1099916" cy="198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aw</m:t>
                        </m:r>
                      </m:e>
                      <m:sup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2/3</m:t>
                        </m:r>
                      </m:sup>
                    </m:sSup>
                    <m:r>
                      <a:rPr lang="es-MX" sz="12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bw</m:t>
                    </m:r>
                    <m:r>
                      <a:rPr lang="es-MX" sz="1200" b="0" i="0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BO" sz="1200" i="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CD7FE0F3-B7A8-425D-8EDC-AD451EC32C09}"/>
                </a:ext>
              </a:extLst>
            </xdr:cNvPr>
            <xdr:cNvSpPr txBox="1"/>
          </xdr:nvSpPr>
          <xdr:spPr>
            <a:xfrm>
              <a:off x="2241550" y="5765800"/>
              <a:ext cx="1099916" cy="198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aw^(2/3)−bw=0</a:t>
              </a:r>
              <a:endParaRPr lang="es-BO" sz="1200" i="0"/>
            </a:p>
          </xdr:txBody>
        </xdr:sp>
      </mc:Fallback>
    </mc:AlternateContent>
    <xdr:clientData/>
  </xdr:oneCellAnchor>
  <xdr:oneCellAnchor>
    <xdr:from>
      <xdr:col>2</xdr:col>
      <xdr:colOff>368300</xdr:colOff>
      <xdr:row>31</xdr:row>
      <xdr:rowOff>177800</xdr:rowOff>
    </xdr:from>
    <xdr:ext cx="1385700" cy="1987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BEBAD9D-59A8-41DD-9F9D-B5F205DBC285}"/>
                </a:ext>
              </a:extLst>
            </xdr:cNvPr>
            <xdr:cNvSpPr txBox="1"/>
          </xdr:nvSpPr>
          <xdr:spPr>
            <a:xfrm>
              <a:off x="1955800" y="5969000"/>
              <a:ext cx="1385700" cy="198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2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200" b="0" i="0">
                            <a:latin typeface="Cambria Math" panose="02040503050406030204" pitchFamily="18" charset="0"/>
                          </a:rPr>
                          <m:t>w</m:t>
                        </m:r>
                      </m:e>
                      <m:sup>
                        <m:r>
                          <a:rPr lang="es-MX" sz="1200" b="0" i="0">
                            <a:latin typeface="Cambria Math" panose="02040503050406030204" pitchFamily="18" charset="0"/>
                          </a:rPr>
                          <m:t>2/3</m:t>
                        </m:r>
                      </m:sup>
                    </m:sSup>
                    <m:r>
                      <a:rPr lang="es-MX" sz="1200" b="0" i="0">
                        <a:latin typeface="Cambria Math" panose="02040503050406030204" pitchFamily="18" charset="0"/>
                      </a:rPr>
                      <m:t>(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a</m:t>
                    </m:r>
                    <m:r>
                      <a:rPr lang="es-MX" sz="1200" b="0" i="0">
                        <a:latin typeface="Cambria Math" panose="02040503050406030204" pitchFamily="18" charset="0"/>
                      </a:rPr>
                      <m:t>−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b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1/3</m:t>
                        </m:r>
                      </m:sup>
                    </m:sSup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s-MX" sz="1200" b="0" i="0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BO" sz="1200" i="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0BEBAD9D-59A8-41DD-9F9D-B5F205DBC285}"/>
                </a:ext>
              </a:extLst>
            </xdr:cNvPr>
            <xdr:cNvSpPr txBox="1"/>
          </xdr:nvSpPr>
          <xdr:spPr>
            <a:xfrm>
              <a:off x="1955800" y="5969000"/>
              <a:ext cx="1385700" cy="1987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w^(2/3) (a−b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w^(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/3))</a:t>
              </a:r>
              <a:r>
                <a:rPr lang="es-MX" sz="1200" b="0" i="0">
                  <a:latin typeface="Cambria Math" panose="02040503050406030204" pitchFamily="18" charset="0"/>
                </a:rPr>
                <a:t>=0</a:t>
              </a:r>
              <a:endParaRPr lang="es-BO" sz="1200" i="0"/>
            </a:p>
          </xdr:txBody>
        </xdr:sp>
      </mc:Fallback>
    </mc:AlternateContent>
    <xdr:clientData/>
  </xdr:oneCellAnchor>
  <xdr:oneCellAnchor>
    <xdr:from>
      <xdr:col>3</xdr:col>
      <xdr:colOff>552450</xdr:colOff>
      <xdr:row>33</xdr:row>
      <xdr:rowOff>120650</xdr:rowOff>
    </xdr:from>
    <xdr:ext cx="1732654" cy="3100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53A496D-F166-4F11-A72F-65BA89F010EC}"/>
                </a:ext>
              </a:extLst>
            </xdr:cNvPr>
            <xdr:cNvSpPr txBox="1"/>
          </xdr:nvSpPr>
          <xdr:spPr>
            <a:xfrm>
              <a:off x="2933700" y="6280150"/>
              <a:ext cx="1732654" cy="310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a</m:t>
                    </m:r>
                    <m:r>
                      <a:rPr lang="es-MX" sz="1200" b="0" i="0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s-MX" sz="1200" b="0" i="0">
                        <a:latin typeface="Cambria Math" panose="02040503050406030204" pitchFamily="18" charset="0"/>
                      </a:rPr>
                      <m:t>b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1/3</m:t>
                        </m:r>
                      </m:sup>
                    </m:sSup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 </m:t>
                    </m:r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→     </m:t>
                    </m:r>
                    <m:sSup>
                      <m:s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w</m:t>
                        </m:r>
                      </m:e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1/3</m:t>
                        </m:r>
                      </m:sup>
                    </m:sSup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B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a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b</m:t>
                        </m:r>
                      </m:den>
                    </m:f>
                    <m:r>
                      <a:rPr lang="es-MX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</m:t>
                    </m:r>
                  </m:oMath>
                </m:oMathPara>
              </a14:m>
              <a:endParaRPr lang="es-BO" sz="1200" i="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553A496D-F166-4F11-A72F-65BA89F010EC}"/>
                </a:ext>
              </a:extLst>
            </xdr:cNvPr>
            <xdr:cNvSpPr txBox="1"/>
          </xdr:nvSpPr>
          <xdr:spPr>
            <a:xfrm>
              <a:off x="2933700" y="6280150"/>
              <a:ext cx="1732654" cy="3100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200" b="0" i="0">
                  <a:latin typeface="Cambria Math" panose="02040503050406030204" pitchFamily="18" charset="0"/>
                </a:rPr>
                <a:t>a=b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w^(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/3)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 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→     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w^(1/3)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=a</a:t>
              </a:r>
              <a:r>
                <a:rPr lang="es-BO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b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  </a:t>
              </a:r>
              <a:endParaRPr lang="es-BO" sz="1200" i="0"/>
            </a:p>
          </xdr:txBody>
        </xdr:sp>
      </mc:Fallback>
    </mc:AlternateContent>
    <xdr:clientData/>
  </xdr:oneCellAnchor>
  <xdr:oneCellAnchor>
    <xdr:from>
      <xdr:col>3</xdr:col>
      <xdr:colOff>304800</xdr:colOff>
      <xdr:row>35</xdr:row>
      <xdr:rowOff>107950</xdr:rowOff>
    </xdr:from>
    <xdr:ext cx="850809" cy="3327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C7180DB4-75A9-4281-8812-EBA5FF07410B}"/>
                </a:ext>
              </a:extLst>
            </xdr:cNvPr>
            <xdr:cNvSpPr txBox="1"/>
          </xdr:nvSpPr>
          <xdr:spPr>
            <a:xfrm>
              <a:off x="2686050" y="6635750"/>
              <a:ext cx="850809" cy="3327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s-MX" sz="1100" b="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es-MX" sz="1100" b="0" i="0">
                                    <a:latin typeface="Cambria Math" panose="02040503050406030204" pitchFamily="18" charset="0"/>
                                  </a:rPr>
                                  <m:t>a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MX" sz="1100" b="0" i="0">
                                    <a:latin typeface="Cambria Math" panose="02040503050406030204" pitchFamily="18" charset="0"/>
                                  </a:rPr>
                                  <m:t>b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C7180DB4-75A9-4281-8812-EBA5FF07410B}"/>
                </a:ext>
              </a:extLst>
            </xdr:cNvPr>
            <xdr:cNvSpPr txBox="1"/>
          </xdr:nvSpPr>
          <xdr:spPr>
            <a:xfrm>
              <a:off x="2686050" y="6635750"/>
              <a:ext cx="850809" cy="3327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m_max=(a/b)^3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2</xdr:col>
      <xdr:colOff>615950</xdr:colOff>
      <xdr:row>38</xdr:row>
      <xdr:rowOff>50800</xdr:rowOff>
    </xdr:from>
    <xdr:ext cx="1602490" cy="4138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A1E433C1-8ECE-4C9C-8309-BCB781024D7B}"/>
                </a:ext>
              </a:extLst>
            </xdr:cNvPr>
            <xdr:cNvSpPr txBox="1"/>
          </xdr:nvSpPr>
          <xdr:spPr>
            <a:xfrm>
              <a:off x="2203450" y="7131050"/>
              <a:ext cx="1602490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</a:rPr>
                          <m:t>max</m:t>
                        </m:r>
                      </m:sub>
                    </m:sSub>
                    <m:r>
                      <a:rPr lang="es-MX" sz="1100" b="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MX" sz="1100" b="0" i="0">
                                    <a:latin typeface="Cambria Math" panose="02040503050406030204" pitchFamily="18" charset="0"/>
                                  </a:rPr>
                                  <m:t>5</m:t>
                                </m:r>
                              </m:num>
                              <m:den>
                                <m:r>
                                  <a:rPr lang="es-MX" sz="1100" b="0" i="0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den>
                            </m:f>
                          </m:e>
                        </m:d>
                      </m:e>
                      <m:sup>
                        <m:r>
                          <a:rPr lang="es-MX" sz="1100" b="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100" b="0" i="0">
                        <a:latin typeface="Cambria Math" panose="02040503050406030204" pitchFamily="18" charset="0"/>
                      </a:rPr>
                      <m:t>=15,625 </m:t>
                    </m:r>
                    <m:r>
                      <m:rPr>
                        <m:sty m:val="p"/>
                      </m:rPr>
                      <a:rPr lang="es-MX" sz="1100" b="0" i="0">
                        <a:latin typeface="Cambria Math" panose="02040503050406030204" pitchFamily="18" charset="0"/>
                      </a:rPr>
                      <m:t>lb</m:t>
                    </m:r>
                  </m:oMath>
                </m:oMathPara>
              </a14:m>
              <a:endParaRPr lang="es-BO" sz="1100" i="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A1E433C1-8ECE-4C9C-8309-BCB781024D7B}"/>
                </a:ext>
              </a:extLst>
            </xdr:cNvPr>
            <xdr:cNvSpPr txBox="1"/>
          </xdr:nvSpPr>
          <xdr:spPr>
            <a:xfrm>
              <a:off x="2203450" y="7131050"/>
              <a:ext cx="1602490" cy="4138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</a:rPr>
                <a:t>m_max=(5/2)^3=15,625 lb</a:t>
              </a:r>
              <a:endParaRPr lang="es-BO" sz="1100" i="0"/>
            </a:p>
          </xdr:txBody>
        </xdr:sp>
      </mc:Fallback>
    </mc:AlternateContent>
    <xdr:clientData/>
  </xdr:oneCellAnchor>
  <xdr:oneCellAnchor>
    <xdr:from>
      <xdr:col>3</xdr:col>
      <xdr:colOff>178777</xdr:colOff>
      <xdr:row>55</xdr:row>
      <xdr:rowOff>158750</xdr:rowOff>
    </xdr:from>
    <xdr:ext cx="1958934" cy="2022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D6557DE3-0767-41F2-966D-0E389AFB3FDA}"/>
                </a:ext>
              </a:extLst>
            </xdr:cNvPr>
            <xdr:cNvSpPr txBox="1"/>
          </xdr:nvSpPr>
          <xdr:spPr>
            <a:xfrm>
              <a:off x="2560027" y="10452100"/>
              <a:ext cx="1958934" cy="202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n</m:t>
                        </m:r>
                        <m:r>
                          <a:rPr lang="es-MX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+1</m:t>
                        </m:r>
                      </m:sub>
                    </m:sSub>
                    <m:r>
                      <a:rPr lang="es-MX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BO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+</m:t>
                    </m:r>
                    <m:r>
                      <m:rPr>
                        <m:sty m:val="p"/>
                      </m:rP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h</m:t>
                    </m:r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(</m:t>
                    </m:r>
                    <m:sSubSup>
                      <m:sSubSup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SupPr>
                      <m:e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5</m:t>
                        </m:r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  <m:sup>
                        <m: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2/3</m:t>
                        </m:r>
                      </m:sup>
                    </m:sSubSup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−2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w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n</m:t>
                        </m:r>
                      </m:sub>
                    </m:sSub>
                    <m:r>
                      <a:rPr lang="es-MX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 </m:t>
                    </m:r>
                  </m:oMath>
                </m:oMathPara>
              </a14:m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D6557DE3-0767-41F2-966D-0E389AFB3FDA}"/>
                </a:ext>
              </a:extLst>
            </xdr:cNvPr>
            <xdr:cNvSpPr txBox="1"/>
          </xdr:nvSpPr>
          <xdr:spPr>
            <a:xfrm>
              <a:off x="2560027" y="10452100"/>
              <a:ext cx="1958934" cy="2022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w</a:t>
              </a:r>
              <a:r>
                <a:rPr lang="es-B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_(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n+1</a:t>
              </a:r>
              <a:r>
                <a:rPr lang="es-BO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w</a:t>
              </a:r>
              <a:r>
                <a:rPr lang="es-BO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_</a:t>
              </a:r>
              <a:r>
                <a:rPr lang="es-MX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n+h (〖5w〗_n^(2/3)−2w_n) </a:t>
              </a:r>
              <a:endParaRPr lang="es-BO" sz="110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>
    <xdr:from>
      <xdr:col>1</xdr:col>
      <xdr:colOff>166403</xdr:colOff>
      <xdr:row>104</xdr:row>
      <xdr:rowOff>11722</xdr:rowOff>
    </xdr:from>
    <xdr:to>
      <xdr:col>5</xdr:col>
      <xdr:colOff>702734</xdr:colOff>
      <xdr:row>117</xdr:row>
      <xdr:rowOff>84666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5AAD5BE-C650-B96E-D1EA-5E7A9DCC8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253913</xdr:colOff>
      <xdr:row>197</xdr:row>
      <xdr:rowOff>179045</xdr:rowOff>
    </xdr:from>
    <xdr:to>
      <xdr:col>6</xdr:col>
      <xdr:colOff>1</xdr:colOff>
      <xdr:row>211</xdr:row>
      <xdr:rowOff>62345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E1D34DC-3576-1173-F7C2-FDAAD34A1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242455</xdr:colOff>
      <xdr:row>104</xdr:row>
      <xdr:rowOff>6928</xdr:rowOff>
    </xdr:from>
    <xdr:to>
      <xdr:col>11</xdr:col>
      <xdr:colOff>778786</xdr:colOff>
      <xdr:row>117</xdr:row>
      <xdr:rowOff>79872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E1A55649-EFFE-4F29-B8D8-BB3F981C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249381</xdr:colOff>
      <xdr:row>104</xdr:row>
      <xdr:rowOff>6928</xdr:rowOff>
    </xdr:from>
    <xdr:to>
      <xdr:col>17</xdr:col>
      <xdr:colOff>785711</xdr:colOff>
      <xdr:row>117</xdr:row>
      <xdr:rowOff>79872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6615137-73B7-4189-B941-754012250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332509</xdr:colOff>
      <xdr:row>197</xdr:row>
      <xdr:rowOff>166256</xdr:rowOff>
    </xdr:from>
    <xdr:to>
      <xdr:col>12</xdr:col>
      <xdr:colOff>78598</xdr:colOff>
      <xdr:row>211</xdr:row>
      <xdr:rowOff>49556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D48B61A5-81A9-475B-94EF-3784FAA23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450273</xdr:colOff>
      <xdr:row>197</xdr:row>
      <xdr:rowOff>166255</xdr:rowOff>
    </xdr:from>
    <xdr:to>
      <xdr:col>18</xdr:col>
      <xdr:colOff>196361</xdr:colOff>
      <xdr:row>211</xdr:row>
      <xdr:rowOff>49555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BD5E263D-F99B-44C4-8DBF-6D3A5624C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179F6A27-9B0F-9E53-4222-26678DCB335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839640" cy="3820058"/>
        </a:xfrm>
        <a:prstGeom xmlns:a="http://schemas.openxmlformats.org/drawingml/2006/main" prst="rect">
          <a:avLst/>
        </a:prstGeom>
      </cdr:spPr>
    </cdr:pic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AAB2024-463D-0E7B-8761-87316C41EC5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6506483" cy="4353533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E1DE880C-455A-D2A0-DF5C-A06B9E15C25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6801799" cy="4334480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A2DFC8B9-6585-09BF-E2E2-0754E89A3FEE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0" y="0"/>
          <a:ext cx="5010849" cy="3315163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5CAA-9DC7-46DE-B22F-8AD8F68DD09C}">
  <dimension ref="B2:Q138"/>
  <sheetViews>
    <sheetView tabSelected="1" zoomScaleNormal="100" workbookViewId="0">
      <selection activeCell="K11" sqref="K11"/>
    </sheetView>
  </sheetViews>
  <sheetFormatPr baseColWidth="10" defaultRowHeight="14.4"/>
  <sheetData>
    <row r="2" spans="2:11" ht="21">
      <c r="B2" s="1" t="s">
        <v>66</v>
      </c>
    </row>
    <row r="3" spans="2:11" ht="21">
      <c r="B3" s="1"/>
    </row>
    <row r="11" spans="2:11">
      <c r="K11" t="s">
        <v>201</v>
      </c>
    </row>
    <row r="17" spans="2:2">
      <c r="B17" t="s">
        <v>0</v>
      </c>
    </row>
    <row r="22" spans="2:2">
      <c r="B22" t="s">
        <v>1</v>
      </c>
    </row>
    <row r="29" spans="2:2" ht="21">
      <c r="B29" s="1" t="s">
        <v>30</v>
      </c>
    </row>
    <row r="31" spans="2:2">
      <c r="B31" t="s">
        <v>65</v>
      </c>
    </row>
    <row r="33" spans="2:13">
      <c r="B33" t="s">
        <v>2</v>
      </c>
    </row>
    <row r="36" spans="2:13">
      <c r="B36" t="s">
        <v>81</v>
      </c>
      <c r="C36" t="s">
        <v>29</v>
      </c>
    </row>
    <row r="38" spans="2:13">
      <c r="B38" s="4" t="s">
        <v>3</v>
      </c>
      <c r="C38" s="4" t="s">
        <v>4</v>
      </c>
      <c r="D38" s="4" t="s">
        <v>5</v>
      </c>
      <c r="E38" s="4" t="s">
        <v>6</v>
      </c>
      <c r="F38" s="4" t="s">
        <v>7</v>
      </c>
    </row>
    <row r="39" spans="2:13">
      <c r="B39" s="5">
        <v>0</v>
      </c>
      <c r="C39" s="3">
        <v>0</v>
      </c>
      <c r="D39" s="3">
        <v>1</v>
      </c>
      <c r="E39" s="3">
        <v>20</v>
      </c>
      <c r="F39" s="3">
        <f t="shared" ref="F39:F44" si="0">(0.3*D39^(3/4))*(1-((D39/300)^(1/4)))</f>
        <v>0.22791565757595736</v>
      </c>
      <c r="H39" t="s">
        <v>8</v>
      </c>
    </row>
    <row r="40" spans="2:13">
      <c r="B40" s="5">
        <v>1</v>
      </c>
      <c r="C40" s="3">
        <f>C39+$E$39</f>
        <v>20</v>
      </c>
      <c r="D40" s="3">
        <f>D39+($E$39*F39)</f>
        <v>5.5583131515191475</v>
      </c>
      <c r="E40" s="3"/>
      <c r="F40" s="3">
        <f t="shared" si="0"/>
        <v>0.68532936995091265</v>
      </c>
      <c r="H40" t="s">
        <v>9</v>
      </c>
    </row>
    <row r="41" spans="2:13">
      <c r="B41" s="5">
        <v>2</v>
      </c>
      <c r="C41" s="3">
        <f t="shared" ref="C41:C58" si="1">C40+$E$39</f>
        <v>40</v>
      </c>
      <c r="D41" s="3">
        <f>D40+($E$39*F40)</f>
        <v>19.264900550537401</v>
      </c>
      <c r="E41" s="3"/>
      <c r="F41" s="3">
        <f t="shared" si="0"/>
        <v>1.3699505959437464</v>
      </c>
      <c r="H41" t="s">
        <v>10</v>
      </c>
    </row>
    <row r="42" spans="2:13">
      <c r="B42" s="5">
        <v>3</v>
      </c>
      <c r="C42" s="3">
        <f t="shared" si="1"/>
        <v>60</v>
      </c>
      <c r="D42" s="3">
        <f>D41+($E$39*F41)</f>
        <v>46.663912469412324</v>
      </c>
      <c r="E42" s="3"/>
      <c r="F42" s="3">
        <f t="shared" si="0"/>
        <v>1.9924666388564238</v>
      </c>
      <c r="H42" t="s">
        <v>11</v>
      </c>
    </row>
    <row r="43" spans="2:13">
      <c r="B43" s="5">
        <v>4</v>
      </c>
      <c r="C43" s="3">
        <f t="shared" si="1"/>
        <v>80</v>
      </c>
      <c r="D43" s="3">
        <f>D42+($E$39*F42)</f>
        <v>86.513245246540805</v>
      </c>
      <c r="E43" s="3"/>
      <c r="F43" s="3">
        <f t="shared" si="0"/>
        <v>2.2738210721049352</v>
      </c>
      <c r="H43" t="s">
        <v>12</v>
      </c>
      <c r="L43" s="2" t="s">
        <v>97</v>
      </c>
    </row>
    <row r="44" spans="2:13">
      <c r="B44" s="5">
        <v>5</v>
      </c>
      <c r="C44" s="3">
        <f t="shared" si="1"/>
        <v>100</v>
      </c>
      <c r="D44" s="3">
        <f>D43+($E$39*F43)</f>
        <v>131.98966668863952</v>
      </c>
      <c r="E44" s="3"/>
      <c r="F44" s="3">
        <f t="shared" si="0"/>
        <v>2.1678538134954848</v>
      </c>
      <c r="H44" t="s">
        <v>13</v>
      </c>
    </row>
    <row r="45" spans="2:13">
      <c r="B45" s="5">
        <v>6</v>
      </c>
      <c r="C45" s="3">
        <f t="shared" si="1"/>
        <v>120</v>
      </c>
      <c r="D45" s="3">
        <f t="shared" ref="D45:D52" si="2">D44+($E$39*F44)</f>
        <v>175.34674295854921</v>
      </c>
      <c r="E45" s="3"/>
      <c r="F45" s="3">
        <f t="shared" ref="F45:F59" si="3">(0.3*D45^(3/4))*(1-((D45/300)^(1/4)))</f>
        <v>1.8161252638094023</v>
      </c>
      <c r="H45" t="s">
        <v>14</v>
      </c>
      <c r="M45" t="s">
        <v>87</v>
      </c>
    </row>
    <row r="46" spans="2:13" ht="15">
      <c r="B46" s="5">
        <v>7</v>
      </c>
      <c r="C46" s="3">
        <f t="shared" si="1"/>
        <v>140</v>
      </c>
      <c r="D46" s="3">
        <f t="shared" si="2"/>
        <v>211.66924823473727</v>
      </c>
      <c r="E46" s="3"/>
      <c r="F46" s="3">
        <f t="shared" si="3"/>
        <v>1.3900577632689497</v>
      </c>
      <c r="H46" t="s">
        <v>15</v>
      </c>
      <c r="M46" s="13" t="s">
        <v>88</v>
      </c>
    </row>
    <row r="47" spans="2:13" ht="15">
      <c r="B47" s="5">
        <v>8</v>
      </c>
      <c r="C47" s="3">
        <f t="shared" si="1"/>
        <v>160</v>
      </c>
      <c r="D47" s="3">
        <f t="shared" si="2"/>
        <v>239.47040350011628</v>
      </c>
      <c r="E47" s="3"/>
      <c r="F47" s="3">
        <f t="shared" si="3"/>
        <v>1.0004296598821079</v>
      </c>
      <c r="H47" t="s">
        <v>16</v>
      </c>
      <c r="M47" s="13" t="s">
        <v>89</v>
      </c>
    </row>
    <row r="48" spans="2:13" ht="15">
      <c r="B48" s="5">
        <v>9</v>
      </c>
      <c r="C48" s="3">
        <f t="shared" si="1"/>
        <v>180</v>
      </c>
      <c r="D48" s="3">
        <f t="shared" si="2"/>
        <v>259.47899669775842</v>
      </c>
      <c r="E48" s="3"/>
      <c r="F48" s="3">
        <f t="shared" si="3"/>
        <v>0.69099015223583515</v>
      </c>
      <c r="H48" t="s">
        <v>17</v>
      </c>
      <c r="M48" s="13" t="s">
        <v>90</v>
      </c>
    </row>
    <row r="49" spans="2:14">
      <c r="B49" s="5">
        <v>10</v>
      </c>
      <c r="C49" s="3">
        <f t="shared" si="1"/>
        <v>200</v>
      </c>
      <c r="D49" s="3">
        <f t="shared" si="2"/>
        <v>273.29879974247513</v>
      </c>
      <c r="E49" s="3"/>
      <c r="F49" s="3">
        <f t="shared" si="3"/>
        <v>0.4644971025290211</v>
      </c>
      <c r="H49" t="s">
        <v>18</v>
      </c>
    </row>
    <row r="50" spans="2:14">
      <c r="B50" s="5">
        <v>11</v>
      </c>
      <c r="C50" s="3">
        <f t="shared" si="1"/>
        <v>220</v>
      </c>
      <c r="D50" s="3">
        <f t="shared" si="2"/>
        <v>282.58874179305553</v>
      </c>
      <c r="E50" s="3"/>
      <c r="F50" s="3">
        <f t="shared" si="3"/>
        <v>0.30677012446643381</v>
      </c>
      <c r="H50" t="s">
        <v>19</v>
      </c>
    </row>
    <row r="51" spans="2:14" ht="15">
      <c r="B51" s="5">
        <v>12</v>
      </c>
      <c r="C51" s="3">
        <f t="shared" si="1"/>
        <v>240</v>
      </c>
      <c r="D51" s="3">
        <f t="shared" si="2"/>
        <v>288.7241442823842</v>
      </c>
      <c r="E51" s="3"/>
      <c r="F51" s="3">
        <f t="shared" si="3"/>
        <v>0.20029322252933512</v>
      </c>
      <c r="H51" t="s">
        <v>20</v>
      </c>
      <c r="M51" s="14" t="s">
        <v>91</v>
      </c>
    </row>
    <row r="52" spans="2:14" ht="15">
      <c r="B52" s="5">
        <v>13</v>
      </c>
      <c r="C52" s="3">
        <f t="shared" si="1"/>
        <v>260</v>
      </c>
      <c r="D52" s="3">
        <f t="shared" si="2"/>
        <v>292.73000873297093</v>
      </c>
      <c r="E52" s="3"/>
      <c r="F52" s="3">
        <f t="shared" si="3"/>
        <v>0.12981036650860331</v>
      </c>
      <c r="H52" t="s">
        <v>21</v>
      </c>
      <c r="N52" s="13" t="s">
        <v>92</v>
      </c>
    </row>
    <row r="53" spans="2:14">
      <c r="B53" s="5">
        <v>14</v>
      </c>
      <c r="C53" s="3">
        <f t="shared" si="1"/>
        <v>280</v>
      </c>
      <c r="D53" s="3">
        <f>D52+($E$39*F52)</f>
        <v>295.32621606314302</v>
      </c>
      <c r="E53" s="3"/>
      <c r="F53" s="3">
        <f t="shared" si="3"/>
        <v>8.3731366419139641E-2</v>
      </c>
      <c r="H53" t="s">
        <v>22</v>
      </c>
    </row>
    <row r="54" spans="2:14">
      <c r="B54" s="5">
        <v>15</v>
      </c>
      <c r="C54" s="3">
        <f t="shared" si="1"/>
        <v>300</v>
      </c>
      <c r="D54" s="3">
        <f>D53+($E$39*F53)</f>
        <v>297.00084339152579</v>
      </c>
      <c r="E54" s="3"/>
      <c r="F54" s="3">
        <f t="shared" si="3"/>
        <v>5.3844585945770483E-2</v>
      </c>
      <c r="H54" t="s">
        <v>23</v>
      </c>
    </row>
    <row r="55" spans="2:14">
      <c r="B55" s="5">
        <v>16</v>
      </c>
      <c r="C55" s="3">
        <f>C54+$E$39</f>
        <v>320</v>
      </c>
      <c r="D55" s="3">
        <f>D54+($E$39*F54)</f>
        <v>298.07773511044121</v>
      </c>
      <c r="E55" s="3"/>
      <c r="F55" s="3">
        <f t="shared" si="3"/>
        <v>3.4557839906450422E-2</v>
      </c>
      <c r="H55" t="s">
        <v>24</v>
      </c>
    </row>
    <row r="56" spans="2:14">
      <c r="B56" s="5">
        <v>17</v>
      </c>
      <c r="C56" s="3">
        <f t="shared" si="1"/>
        <v>340</v>
      </c>
      <c r="D56" s="3">
        <f>D55+($E$39*F55)</f>
        <v>298.7688919085702</v>
      </c>
      <c r="E56" s="3"/>
      <c r="F56" s="3">
        <f t="shared" si="3"/>
        <v>2.2151704235205048E-2</v>
      </c>
      <c r="H56" t="s">
        <v>25</v>
      </c>
    </row>
    <row r="57" spans="2:14">
      <c r="B57" s="5">
        <v>18</v>
      </c>
      <c r="C57" s="3">
        <f t="shared" si="1"/>
        <v>360</v>
      </c>
      <c r="D57" s="3">
        <f>D56+($E$39*F56)</f>
        <v>299.21192599327429</v>
      </c>
      <c r="E57" s="3"/>
      <c r="F57" s="3">
        <f t="shared" si="3"/>
        <v>1.4187943569736653E-2</v>
      </c>
      <c r="H57" t="s">
        <v>26</v>
      </c>
    </row>
    <row r="58" spans="2:14">
      <c r="B58" s="5">
        <v>19</v>
      </c>
      <c r="C58" s="3">
        <f t="shared" si="1"/>
        <v>380</v>
      </c>
      <c r="D58" s="3">
        <f t="shared" ref="D58:D59" si="4">D57+($E$39*F57)</f>
        <v>299.49568486466904</v>
      </c>
      <c r="E58" s="3"/>
      <c r="F58" s="3">
        <f t="shared" si="3"/>
        <v>9.0825729964703027E-3</v>
      </c>
      <c r="H58" t="s">
        <v>27</v>
      </c>
    </row>
    <row r="59" spans="2:14">
      <c r="B59" s="5">
        <v>20</v>
      </c>
      <c r="C59" s="3">
        <f>C58+$E$39</f>
        <v>400</v>
      </c>
      <c r="D59" s="6">
        <f t="shared" si="4"/>
        <v>299.67733632459846</v>
      </c>
      <c r="E59" s="3"/>
      <c r="F59" s="3">
        <f t="shared" si="3"/>
        <v>5.8124034040656896E-3</v>
      </c>
      <c r="H59" t="s">
        <v>28</v>
      </c>
    </row>
    <row r="60" spans="2:14">
      <c r="D60" s="15" t="s">
        <v>93</v>
      </c>
    </row>
    <row r="61" spans="2:14">
      <c r="D61" s="16"/>
    </row>
    <row r="63" spans="2:14">
      <c r="B63" t="s">
        <v>82</v>
      </c>
    </row>
    <row r="65" spans="2:12">
      <c r="B65" t="s">
        <v>83</v>
      </c>
    </row>
    <row r="67" spans="2:12">
      <c r="B67" t="s">
        <v>84</v>
      </c>
      <c r="G67" t="s">
        <v>85</v>
      </c>
      <c r="L67" t="s">
        <v>86</v>
      </c>
    </row>
    <row r="85" spans="2:3" ht="21">
      <c r="B85" s="1" t="s">
        <v>31</v>
      </c>
    </row>
    <row r="88" spans="2:3">
      <c r="B88" t="s">
        <v>32</v>
      </c>
    </row>
    <row r="93" spans="2:3">
      <c r="B93" t="s">
        <v>33</v>
      </c>
    </row>
    <row r="95" spans="2:3">
      <c r="C95" t="s">
        <v>34</v>
      </c>
    </row>
    <row r="96" spans="2:3">
      <c r="C96" t="s">
        <v>35</v>
      </c>
    </row>
    <row r="98" spans="2:12">
      <c r="C98" t="s">
        <v>36</v>
      </c>
    </row>
    <row r="101" spans="2:12">
      <c r="B101" t="s">
        <v>37</v>
      </c>
    </row>
    <row r="106" spans="2:12">
      <c r="B106" t="s">
        <v>81</v>
      </c>
      <c r="C106" t="s">
        <v>29</v>
      </c>
    </row>
    <row r="108" spans="2:12">
      <c r="F108" s="9" t="s">
        <v>43</v>
      </c>
      <c r="G108" s="10" t="s">
        <v>64</v>
      </c>
      <c r="H108" s="18" t="s">
        <v>42</v>
      </c>
      <c r="I108" s="18"/>
    </row>
    <row r="109" spans="2:12">
      <c r="B109" s="7" t="s">
        <v>3</v>
      </c>
      <c r="C109" s="7" t="s">
        <v>4</v>
      </c>
      <c r="D109" s="7" t="s">
        <v>5</v>
      </c>
      <c r="E109" s="8" t="s">
        <v>6</v>
      </c>
      <c r="F109" s="9" t="s">
        <v>7</v>
      </c>
      <c r="G109" s="10" t="s">
        <v>39</v>
      </c>
      <c r="H109" s="11" t="s">
        <v>41</v>
      </c>
      <c r="I109" s="11" t="s">
        <v>40</v>
      </c>
      <c r="J109" s="7" t="s">
        <v>38</v>
      </c>
    </row>
    <row r="110" spans="2:12">
      <c r="B110" s="12">
        <v>0</v>
      </c>
      <c r="C110" s="3">
        <v>0</v>
      </c>
      <c r="D110" s="3">
        <v>1</v>
      </c>
      <c r="E110" s="3">
        <v>20</v>
      </c>
      <c r="F110" s="3">
        <f>(0.3*D110^(3/4))*(1-((D110/300)^(1/4)))</f>
        <v>0.22791565757595736</v>
      </c>
      <c r="G110" s="3">
        <f>C110+$E$110</f>
        <v>20</v>
      </c>
      <c r="H110" s="3">
        <f>$E$110*F110</f>
        <v>4.5583131515191475</v>
      </c>
      <c r="I110" s="3">
        <f>D110+H110</f>
        <v>5.5583131515191475</v>
      </c>
      <c r="J110" s="3">
        <f>(0.3*I110^(3/4))*(1-((I110/300)^(1/4)))</f>
        <v>0.68532936995091265</v>
      </c>
      <c r="L110" t="s">
        <v>8</v>
      </c>
    </row>
    <row r="111" spans="2:12">
      <c r="B111" s="12">
        <v>1</v>
      </c>
      <c r="C111" s="3">
        <f>C110+$E$110</f>
        <v>20</v>
      </c>
      <c r="D111" s="3">
        <f>D110+(($E$110/2)*(F110+J110))</f>
        <v>10.132450275268699</v>
      </c>
      <c r="E111" s="3"/>
      <c r="F111" s="3">
        <f>(0.3*D111^(3/4))*(1-((D111/300)^(1/4)))</f>
        <v>0.97336387570737837</v>
      </c>
      <c r="G111" s="3">
        <f>C111+$E$110</f>
        <v>40</v>
      </c>
      <c r="H111" s="3">
        <f t="shared" ref="H111:H116" si="5">$E$110*F111</f>
        <v>19.467277514147568</v>
      </c>
      <c r="I111" s="3">
        <f t="shared" ref="I111:I116" si="6">D111+H111</f>
        <v>29.599727789416267</v>
      </c>
      <c r="J111" s="3">
        <f t="shared" ref="J111:J130" si="7">(0.3*I111^(3/4))*(1-((I111/300)^(1/4)))</f>
        <v>1.673359603333598</v>
      </c>
      <c r="L111" t="s">
        <v>44</v>
      </c>
    </row>
    <row r="112" spans="2:12">
      <c r="B112" s="12">
        <v>2</v>
      </c>
      <c r="C112" s="3">
        <f t="shared" ref="C112:C130" si="8">C111+$E$110</f>
        <v>40</v>
      </c>
      <c r="D112" s="3">
        <f t="shared" ref="D112:D130" si="9">D111+(($E$110/2)*(F111+J111))</f>
        <v>36.599685065678457</v>
      </c>
      <c r="E112" s="3"/>
      <c r="F112" s="3">
        <f t="shared" ref="F112:F130" si="10">(0.3*D112^(3/4))*(1-((D112/300)^(1/4)))</f>
        <v>1.8257879861688631</v>
      </c>
      <c r="G112" s="3">
        <f t="shared" ref="G112:G130" si="11">C112+$E$110</f>
        <v>60</v>
      </c>
      <c r="H112" s="3">
        <f t="shared" si="5"/>
        <v>36.515759723377258</v>
      </c>
      <c r="I112" s="3">
        <f t="shared" si="6"/>
        <v>73.115444789055715</v>
      </c>
      <c r="J112" s="3">
        <f t="shared" si="7"/>
        <v>2.2306755481245117</v>
      </c>
      <c r="L112" t="s">
        <v>45</v>
      </c>
    </row>
    <row r="113" spans="2:17">
      <c r="B113" s="12">
        <v>3</v>
      </c>
      <c r="C113" s="3">
        <f t="shared" si="8"/>
        <v>60</v>
      </c>
      <c r="D113" s="3">
        <f t="shared" si="9"/>
        <v>77.164320408612213</v>
      </c>
      <c r="E113" s="3"/>
      <c r="F113" s="3">
        <f t="shared" si="10"/>
        <v>2.2482473852049734</v>
      </c>
      <c r="G113" s="3">
        <f t="shared" si="11"/>
        <v>80</v>
      </c>
      <c r="H113" s="3">
        <f>$E$110*F113</f>
        <v>44.964947704099465</v>
      </c>
      <c r="I113" s="3">
        <f t="shared" si="6"/>
        <v>122.12926811271169</v>
      </c>
      <c r="J113" s="3">
        <f t="shared" si="7"/>
        <v>2.2177744066378069</v>
      </c>
      <c r="L113" t="s">
        <v>46</v>
      </c>
      <c r="P113" s="2" t="s">
        <v>175</v>
      </c>
    </row>
    <row r="114" spans="2:17">
      <c r="B114" s="12">
        <v>4</v>
      </c>
      <c r="C114" s="3">
        <f t="shared" si="8"/>
        <v>80</v>
      </c>
      <c r="D114" s="3">
        <f t="shared" si="9"/>
        <v>121.82453832704002</v>
      </c>
      <c r="E114" s="3"/>
      <c r="F114" s="3">
        <f t="shared" si="10"/>
        <v>2.2191092832771306</v>
      </c>
      <c r="G114" s="3">
        <f t="shared" si="11"/>
        <v>100</v>
      </c>
      <c r="H114" s="3">
        <f t="shared" si="5"/>
        <v>44.382185665542615</v>
      </c>
      <c r="I114" s="3">
        <f t="shared" si="6"/>
        <v>166.20672399258262</v>
      </c>
      <c r="J114" s="3">
        <f t="shared" si="7"/>
        <v>1.9060739739658941</v>
      </c>
      <c r="L114" t="s">
        <v>47</v>
      </c>
    </row>
    <row r="115" spans="2:17" ht="15">
      <c r="B115" s="12">
        <v>5</v>
      </c>
      <c r="C115" s="3">
        <f t="shared" si="8"/>
        <v>100</v>
      </c>
      <c r="D115" s="3">
        <f t="shared" si="9"/>
        <v>163.07637089947025</v>
      </c>
      <c r="E115" s="3"/>
      <c r="F115" s="3">
        <f t="shared" si="10"/>
        <v>1.9350964740525884</v>
      </c>
      <c r="G115" s="3">
        <f t="shared" si="11"/>
        <v>120</v>
      </c>
      <c r="H115" s="3">
        <f t="shared" si="5"/>
        <v>38.701929481051771</v>
      </c>
      <c r="I115" s="3">
        <f t="shared" si="6"/>
        <v>201.77830038052201</v>
      </c>
      <c r="J115" s="3">
        <f t="shared" si="7"/>
        <v>1.5161109602383223</v>
      </c>
      <c r="L115" t="s">
        <v>48</v>
      </c>
      <c r="Q115" s="13" t="s">
        <v>176</v>
      </c>
    </row>
    <row r="116" spans="2:17" ht="15">
      <c r="B116" s="12">
        <v>6</v>
      </c>
      <c r="C116" s="3">
        <f t="shared" si="8"/>
        <v>120</v>
      </c>
      <c r="D116" s="3">
        <f t="shared" si="9"/>
        <v>197.58844524237935</v>
      </c>
      <c r="E116" s="3"/>
      <c r="F116" s="3">
        <f t="shared" si="10"/>
        <v>1.5673506549835794</v>
      </c>
      <c r="G116" s="3">
        <f t="shared" si="11"/>
        <v>140</v>
      </c>
      <c r="H116" s="3">
        <f t="shared" si="5"/>
        <v>31.347013099671589</v>
      </c>
      <c r="I116" s="3">
        <f t="shared" si="6"/>
        <v>228.93545834205094</v>
      </c>
      <c r="J116" s="3">
        <f t="shared" si="7"/>
        <v>1.1538962949754361</v>
      </c>
      <c r="L116" t="s">
        <v>49</v>
      </c>
      <c r="Q116" s="13" t="s">
        <v>177</v>
      </c>
    </row>
    <row r="117" spans="2:17" ht="15">
      <c r="B117" s="12">
        <v>7</v>
      </c>
      <c r="C117" s="3">
        <f t="shared" si="8"/>
        <v>140</v>
      </c>
      <c r="D117" s="3">
        <f t="shared" si="9"/>
        <v>224.80091474196951</v>
      </c>
      <c r="E117" s="3"/>
      <c r="F117" s="3">
        <f t="shared" si="10"/>
        <v>1.2122318544187856</v>
      </c>
      <c r="G117" s="3">
        <f t="shared" si="11"/>
        <v>160</v>
      </c>
      <c r="H117" s="3">
        <f>$E$110*F117</f>
        <v>24.244637088375711</v>
      </c>
      <c r="I117" s="3">
        <f>D117+H117</f>
        <v>249.04555183034523</v>
      </c>
      <c r="J117" s="3">
        <f t="shared" si="7"/>
        <v>0.85518381680945721</v>
      </c>
      <c r="L117" t="s">
        <v>50</v>
      </c>
      <c r="Q117" s="13" t="s">
        <v>178</v>
      </c>
    </row>
    <row r="118" spans="2:17" ht="17.399999999999999">
      <c r="B118" s="12">
        <v>8</v>
      </c>
      <c r="C118" s="3">
        <f>C117+$E$110</f>
        <v>160</v>
      </c>
      <c r="D118" s="3">
        <f t="shared" si="9"/>
        <v>245.47507145425195</v>
      </c>
      <c r="E118" s="3"/>
      <c r="F118" s="3">
        <f t="shared" si="10"/>
        <v>0.90996780210288386</v>
      </c>
      <c r="G118" s="3">
        <f t="shared" si="11"/>
        <v>180</v>
      </c>
      <c r="H118" s="3">
        <f t="shared" ref="H118:H130" si="12">$E$110*F118</f>
        <v>18.199356042057676</v>
      </c>
      <c r="I118" s="3">
        <f t="shared" ref="I118:I130" si="13">D118+H118</f>
        <v>263.67442749630965</v>
      </c>
      <c r="J118" s="3">
        <f t="shared" si="7"/>
        <v>0.62329104833318216</v>
      </c>
      <c r="L118" t="s">
        <v>51</v>
      </c>
      <c r="Q118" s="13" t="s">
        <v>179</v>
      </c>
    </row>
    <row r="119" spans="2:17" ht="15">
      <c r="B119" s="12">
        <v>9</v>
      </c>
      <c r="C119" s="3">
        <f t="shared" si="8"/>
        <v>180</v>
      </c>
      <c r="D119" s="3">
        <f t="shared" si="9"/>
        <v>260.80765995861259</v>
      </c>
      <c r="E119" s="3"/>
      <c r="F119" s="3">
        <f t="shared" si="10"/>
        <v>0.66965228728522619</v>
      </c>
      <c r="G119" s="3">
        <f t="shared" si="11"/>
        <v>200</v>
      </c>
      <c r="H119" s="3">
        <f t="shared" si="12"/>
        <v>13.393045745704523</v>
      </c>
      <c r="I119" s="3">
        <f t="shared" si="13"/>
        <v>274.2007057043171</v>
      </c>
      <c r="J119" s="3">
        <f t="shared" si="7"/>
        <v>0.4493728737862614</v>
      </c>
      <c r="L119" t="s">
        <v>52</v>
      </c>
      <c r="Q119" s="13" t="s">
        <v>180</v>
      </c>
    </row>
    <row r="120" spans="2:17" ht="15">
      <c r="B120" s="12">
        <v>10</v>
      </c>
      <c r="C120" s="3">
        <f t="shared" si="8"/>
        <v>200</v>
      </c>
      <c r="D120" s="3">
        <f t="shared" si="9"/>
        <v>271.99791156932747</v>
      </c>
      <c r="E120" s="3"/>
      <c r="F120" s="3">
        <f t="shared" si="10"/>
        <v>0.48623936513128874</v>
      </c>
      <c r="G120" s="3">
        <f t="shared" si="11"/>
        <v>220</v>
      </c>
      <c r="H120" s="3">
        <f t="shared" si="12"/>
        <v>9.7247873026257743</v>
      </c>
      <c r="I120" s="3">
        <f t="shared" si="13"/>
        <v>281.72269887195324</v>
      </c>
      <c r="J120" s="3">
        <f t="shared" si="7"/>
        <v>0.32165381497413315</v>
      </c>
      <c r="L120" t="s">
        <v>53</v>
      </c>
      <c r="Q120" s="13" t="s">
        <v>181</v>
      </c>
    </row>
    <row r="121" spans="2:17" ht="15">
      <c r="B121" s="12">
        <v>11</v>
      </c>
      <c r="C121" s="3">
        <f t="shared" si="8"/>
        <v>220</v>
      </c>
      <c r="D121" s="3">
        <f t="shared" si="9"/>
        <v>280.07684337038171</v>
      </c>
      <c r="E121" s="3"/>
      <c r="F121" s="3">
        <f t="shared" si="10"/>
        <v>0.34983839518165255</v>
      </c>
      <c r="G121" s="3">
        <f t="shared" si="11"/>
        <v>240</v>
      </c>
      <c r="H121" s="3">
        <f t="shared" si="12"/>
        <v>6.9967679036330512</v>
      </c>
      <c r="I121" s="3">
        <f t="shared" si="13"/>
        <v>287.07361127401475</v>
      </c>
      <c r="J121" s="3">
        <f t="shared" si="7"/>
        <v>0.22911433367455178</v>
      </c>
      <c r="L121" t="s">
        <v>54</v>
      </c>
      <c r="Q121" s="13"/>
    </row>
    <row r="122" spans="2:17" ht="15">
      <c r="B122" s="12">
        <v>12</v>
      </c>
      <c r="C122" s="3">
        <f t="shared" si="8"/>
        <v>240</v>
      </c>
      <c r="D122" s="3">
        <f t="shared" si="9"/>
        <v>285.86637065894377</v>
      </c>
      <c r="E122" s="3"/>
      <c r="F122" s="3">
        <f t="shared" si="10"/>
        <v>0.25011274363100744</v>
      </c>
      <c r="G122" s="3">
        <f t="shared" si="11"/>
        <v>260</v>
      </c>
      <c r="H122" s="3">
        <f t="shared" si="12"/>
        <v>5.0022548726201492</v>
      </c>
      <c r="I122" s="3">
        <f t="shared" si="13"/>
        <v>290.86862553156391</v>
      </c>
      <c r="J122" s="3">
        <f t="shared" si="7"/>
        <v>0.16265475082197023</v>
      </c>
      <c r="L122" t="s">
        <v>55</v>
      </c>
      <c r="Q122" s="13"/>
    </row>
    <row r="123" spans="2:17">
      <c r="B123" s="12">
        <v>13</v>
      </c>
      <c r="C123" s="3">
        <f t="shared" si="8"/>
        <v>260</v>
      </c>
      <c r="D123" s="3">
        <f t="shared" si="9"/>
        <v>289.99404560347352</v>
      </c>
      <c r="E123" s="3"/>
      <c r="F123" s="3">
        <f t="shared" si="10"/>
        <v>0.17803089802558028</v>
      </c>
      <c r="G123" s="3">
        <f t="shared" si="11"/>
        <v>280</v>
      </c>
      <c r="H123" s="3">
        <f t="shared" si="12"/>
        <v>3.5606179605116055</v>
      </c>
      <c r="I123" s="3">
        <f t="shared" si="13"/>
        <v>293.55466356398512</v>
      </c>
      <c r="J123" s="3">
        <f t="shared" si="7"/>
        <v>0.1152076817976783</v>
      </c>
      <c r="L123" t="s">
        <v>56</v>
      </c>
    </row>
    <row r="124" spans="2:17">
      <c r="B124" s="12">
        <v>14</v>
      </c>
      <c r="C124" s="3">
        <f t="shared" si="8"/>
        <v>280</v>
      </c>
      <c r="D124" s="3">
        <f t="shared" si="9"/>
        <v>292.92643140170611</v>
      </c>
      <c r="E124" s="3"/>
      <c r="F124" s="3">
        <f t="shared" si="10"/>
        <v>0.12633504820211852</v>
      </c>
      <c r="G124" s="3">
        <f t="shared" si="11"/>
        <v>300</v>
      </c>
      <c r="H124" s="3">
        <f t="shared" si="12"/>
        <v>2.5267009640423703</v>
      </c>
      <c r="I124" s="3">
        <f t="shared" si="13"/>
        <v>295.4531323657485</v>
      </c>
      <c r="J124" s="3">
        <f t="shared" si="7"/>
        <v>8.1470814526862903E-2</v>
      </c>
      <c r="L124" t="s">
        <v>57</v>
      </c>
    </row>
    <row r="125" spans="2:17">
      <c r="B125" s="12">
        <v>15</v>
      </c>
      <c r="C125" s="3">
        <f>C124+$E$110</f>
        <v>300</v>
      </c>
      <c r="D125" s="3">
        <f t="shared" si="9"/>
        <v>295.00449002899592</v>
      </c>
      <c r="E125" s="3"/>
      <c r="F125" s="3">
        <f t="shared" si="10"/>
        <v>8.945842766167536E-2</v>
      </c>
      <c r="G125" s="3">
        <f t="shared" si="11"/>
        <v>320</v>
      </c>
      <c r="H125" s="3">
        <f t="shared" si="12"/>
        <v>1.7891685532335071</v>
      </c>
      <c r="I125" s="3">
        <f t="shared" si="13"/>
        <v>296.7936585822294</v>
      </c>
      <c r="J125" s="3">
        <f t="shared" si="7"/>
        <v>5.7549130586241684E-2</v>
      </c>
      <c r="L125" t="s">
        <v>58</v>
      </c>
    </row>
    <row r="126" spans="2:17">
      <c r="B126" s="12">
        <v>16</v>
      </c>
      <c r="C126" s="3">
        <f t="shared" si="8"/>
        <v>320</v>
      </c>
      <c r="D126" s="3">
        <f t="shared" si="9"/>
        <v>296.4745656114751</v>
      </c>
      <c r="E126" s="3"/>
      <c r="F126" s="3">
        <f t="shared" si="10"/>
        <v>6.3250801857504244E-2</v>
      </c>
      <c r="G126" s="3">
        <f t="shared" si="11"/>
        <v>340</v>
      </c>
      <c r="H126" s="3">
        <f t="shared" si="12"/>
        <v>1.2650160371500849</v>
      </c>
      <c r="I126" s="3">
        <f t="shared" si="13"/>
        <v>297.73958164862518</v>
      </c>
      <c r="J126" s="3">
        <f t="shared" si="7"/>
        <v>4.0619731507916083E-2</v>
      </c>
      <c r="L126" t="s">
        <v>59</v>
      </c>
    </row>
    <row r="127" spans="2:17">
      <c r="B127" s="12">
        <v>17</v>
      </c>
      <c r="C127" s="3">
        <f t="shared" si="8"/>
        <v>340</v>
      </c>
      <c r="D127" s="3">
        <f t="shared" si="9"/>
        <v>297.51327094512931</v>
      </c>
      <c r="E127" s="3"/>
      <c r="F127" s="3">
        <f t="shared" si="10"/>
        <v>4.4673774843605671E-2</v>
      </c>
      <c r="G127" s="3">
        <f t="shared" si="11"/>
        <v>360</v>
      </c>
      <c r="H127" s="3">
        <f t="shared" si="12"/>
        <v>0.89347549687211347</v>
      </c>
      <c r="I127" s="3">
        <f t="shared" si="13"/>
        <v>298.40674644200141</v>
      </c>
      <c r="J127" s="3">
        <f t="shared" si="7"/>
        <v>2.8654849659353814E-2</v>
      </c>
      <c r="L127" t="s">
        <v>60</v>
      </c>
    </row>
    <row r="128" spans="2:17">
      <c r="B128" s="12">
        <v>18</v>
      </c>
      <c r="C128" s="3">
        <f t="shared" si="8"/>
        <v>360</v>
      </c>
      <c r="D128" s="3">
        <f t="shared" si="9"/>
        <v>298.24655719015891</v>
      </c>
      <c r="E128" s="3"/>
      <c r="F128" s="3">
        <f t="shared" si="10"/>
        <v>3.152951508230227E-2</v>
      </c>
      <c r="G128" s="3">
        <f t="shared" si="11"/>
        <v>380</v>
      </c>
      <c r="H128" s="3">
        <f t="shared" si="12"/>
        <v>0.63059030164604546</v>
      </c>
      <c r="I128" s="3">
        <f t="shared" si="13"/>
        <v>298.87714749180498</v>
      </c>
      <c r="J128" s="3">
        <f t="shared" si="7"/>
        <v>2.0206575607148215E-2</v>
      </c>
      <c r="L128" t="s">
        <v>61</v>
      </c>
    </row>
    <row r="129" spans="2:12">
      <c r="B129" s="12">
        <v>19</v>
      </c>
      <c r="C129" s="3">
        <f t="shared" si="8"/>
        <v>380</v>
      </c>
      <c r="D129" s="3">
        <f t="shared" si="9"/>
        <v>298.76391809705342</v>
      </c>
      <c r="E129" s="3"/>
      <c r="F129" s="3">
        <f t="shared" si="10"/>
        <v>2.2241060577177559E-2</v>
      </c>
      <c r="G129" s="3">
        <f t="shared" si="11"/>
        <v>400</v>
      </c>
      <c r="H129" s="3">
        <f t="shared" si="12"/>
        <v>0.4448212115435512</v>
      </c>
      <c r="I129" s="3">
        <f t="shared" si="13"/>
        <v>299.20873930859699</v>
      </c>
      <c r="J129" s="3">
        <f t="shared" si="7"/>
        <v>1.4245257528636852E-2</v>
      </c>
      <c r="L129" t="s">
        <v>62</v>
      </c>
    </row>
    <row r="130" spans="2:12">
      <c r="B130" s="12">
        <v>20</v>
      </c>
      <c r="C130" s="3">
        <f t="shared" si="8"/>
        <v>400</v>
      </c>
      <c r="D130" s="6">
        <f t="shared" si="9"/>
        <v>299.12878127811155</v>
      </c>
      <c r="E130" s="3"/>
      <c r="F130" s="3">
        <f t="shared" si="10"/>
        <v>1.5683188443891785E-2</v>
      </c>
      <c r="G130" s="3">
        <f t="shared" si="11"/>
        <v>420</v>
      </c>
      <c r="H130" s="3">
        <f t="shared" si="12"/>
        <v>0.3136637688778357</v>
      </c>
      <c r="I130" s="3">
        <f t="shared" si="13"/>
        <v>299.44244504698941</v>
      </c>
      <c r="J130" s="3">
        <f t="shared" si="7"/>
        <v>1.0040737396944268E-2</v>
      </c>
      <c r="L130" t="s">
        <v>63</v>
      </c>
    </row>
    <row r="131" spans="2:12">
      <c r="D131" s="15" t="s">
        <v>93</v>
      </c>
    </row>
    <row r="134" spans="2:12">
      <c r="B134" t="s">
        <v>82</v>
      </c>
    </row>
    <row r="136" spans="2:12">
      <c r="B136" t="s">
        <v>83</v>
      </c>
    </row>
    <row r="138" spans="2:12">
      <c r="B138" t="s">
        <v>94</v>
      </c>
      <c r="G138" t="s">
        <v>95</v>
      </c>
      <c r="L138" t="s">
        <v>96</v>
      </c>
    </row>
  </sheetData>
  <mergeCells count="1">
    <mergeCell ref="H108:I108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0DC9-F40F-4225-BD22-DB36DC627F56}">
  <dimension ref="B2:P197"/>
  <sheetViews>
    <sheetView topLeftCell="A91" zoomScaleNormal="100" workbookViewId="0">
      <selection activeCell="J58" sqref="J58"/>
    </sheetView>
  </sheetViews>
  <sheetFormatPr baseColWidth="10" defaultRowHeight="14.4"/>
  <sheetData>
    <row r="2" spans="2:2" ht="21">
      <c r="B2" s="1" t="s">
        <v>67</v>
      </c>
    </row>
    <row r="17" spans="2:2">
      <c r="B17" t="s">
        <v>0</v>
      </c>
    </row>
    <row r="22" spans="2:2">
      <c r="B22" t="s">
        <v>1</v>
      </c>
    </row>
    <row r="28" spans="2:2">
      <c r="B28" s="2" t="s">
        <v>68</v>
      </c>
    </row>
    <row r="30" spans="2:2">
      <c r="B30" t="s">
        <v>69</v>
      </c>
    </row>
    <row r="32" spans="2:2">
      <c r="B32" t="s">
        <v>70</v>
      </c>
    </row>
    <row r="33" spans="2:2">
      <c r="B33" t="s">
        <v>71</v>
      </c>
    </row>
    <row r="35" spans="2:2">
      <c r="B35" t="s">
        <v>72</v>
      </c>
    </row>
    <row r="37" spans="2:2">
      <c r="B37" t="s">
        <v>73</v>
      </c>
    </row>
    <row r="40" spans="2:2">
      <c r="B40" t="s">
        <v>74</v>
      </c>
    </row>
    <row r="43" spans="2:2">
      <c r="B43" t="s">
        <v>75</v>
      </c>
    </row>
    <row r="45" spans="2:2">
      <c r="B45" t="s">
        <v>76</v>
      </c>
    </row>
    <row r="48" spans="2:2" ht="21">
      <c r="B48" s="1" t="s">
        <v>30</v>
      </c>
    </row>
    <row r="52" spans="2:8">
      <c r="B52" t="s">
        <v>65</v>
      </c>
    </row>
    <row r="55" spans="2:8">
      <c r="B55" t="s">
        <v>2</v>
      </c>
    </row>
    <row r="57" spans="2:8">
      <c r="B57" t="s">
        <v>77</v>
      </c>
    </row>
    <row r="59" spans="2:8">
      <c r="B59" t="s">
        <v>81</v>
      </c>
      <c r="C59" t="s">
        <v>98</v>
      </c>
    </row>
    <row r="61" spans="2:8">
      <c r="B61" s="4" t="s">
        <v>3</v>
      </c>
      <c r="C61" s="4" t="s">
        <v>4</v>
      </c>
      <c r="D61" s="4" t="s">
        <v>78</v>
      </c>
      <c r="E61" s="4" t="s">
        <v>6</v>
      </c>
      <c r="F61" s="4" t="s">
        <v>79</v>
      </c>
    </row>
    <row r="62" spans="2:8">
      <c r="B62" s="5">
        <v>0</v>
      </c>
      <c r="C62" s="3">
        <v>0</v>
      </c>
      <c r="D62" s="3">
        <v>0.5</v>
      </c>
      <c r="E62" s="3">
        <v>0.5</v>
      </c>
      <c r="F62" s="3">
        <f>(5*(D62^(2/3)))-(2*D62)</f>
        <v>2.1498026247371831</v>
      </c>
      <c r="H62" t="s">
        <v>99</v>
      </c>
    </row>
    <row r="63" spans="2:8">
      <c r="B63" s="5">
        <v>1</v>
      </c>
      <c r="C63" s="3">
        <f>C62+$E$62</f>
        <v>0.5</v>
      </c>
      <c r="D63" s="3">
        <f>D62+($E$62*F62)</f>
        <v>1.5749013123685915</v>
      </c>
      <c r="E63" s="3"/>
      <c r="F63" s="3">
        <f t="shared" ref="F63:F94" si="0">(5*(D63^(2/3)))-(2*D63)</f>
        <v>3.6183825804897447</v>
      </c>
      <c r="H63" t="s">
        <v>100</v>
      </c>
    </row>
    <row r="64" spans="2:8">
      <c r="B64" s="5">
        <v>2</v>
      </c>
      <c r="C64" s="3">
        <f t="shared" ref="C64:C81" si="1">C63+$E$62</f>
        <v>1</v>
      </c>
      <c r="D64" s="3">
        <f>D63+($E$62*F63)</f>
        <v>3.3840926026134639</v>
      </c>
      <c r="E64" s="3"/>
      <c r="F64" s="3">
        <f t="shared" si="0"/>
        <v>4.5020115164563581</v>
      </c>
      <c r="H64" t="s">
        <v>101</v>
      </c>
    </row>
    <row r="65" spans="2:13">
      <c r="B65" s="5">
        <v>3</v>
      </c>
      <c r="C65" s="3">
        <f t="shared" si="1"/>
        <v>1.5</v>
      </c>
      <c r="D65" s="3">
        <f>D64+($E$62*F64)</f>
        <v>5.635098360841643</v>
      </c>
      <c r="E65" s="3"/>
      <c r="F65" s="3">
        <f t="shared" si="0"/>
        <v>4.5630873993193379</v>
      </c>
      <c r="H65" t="s">
        <v>102</v>
      </c>
    </row>
    <row r="66" spans="2:13">
      <c r="B66" s="5">
        <v>4</v>
      </c>
      <c r="C66" s="3">
        <f t="shared" si="1"/>
        <v>2</v>
      </c>
      <c r="D66" s="3">
        <f>D65+($E$62*F65)</f>
        <v>7.9166420605013119</v>
      </c>
      <c r="E66" s="3"/>
      <c r="F66" s="3">
        <f t="shared" si="0"/>
        <v>4.0275435867173393</v>
      </c>
      <c r="H66" t="s">
        <v>103</v>
      </c>
    </row>
    <row r="67" spans="2:13">
      <c r="B67" s="5">
        <v>5</v>
      </c>
      <c r="C67" s="3">
        <f t="shared" si="1"/>
        <v>2.5</v>
      </c>
      <c r="D67" s="3">
        <f>D66+($E$62*F66)</f>
        <v>9.9304138538599815</v>
      </c>
      <c r="E67" s="3"/>
      <c r="F67" s="3">
        <f t="shared" si="0"/>
        <v>3.2393277815832846</v>
      </c>
      <c r="H67" t="s">
        <v>104</v>
      </c>
      <c r="L67" s="2" t="s">
        <v>191</v>
      </c>
    </row>
    <row r="68" spans="2:13">
      <c r="B68" s="5">
        <v>6</v>
      </c>
      <c r="C68" s="3">
        <f t="shared" si="1"/>
        <v>3</v>
      </c>
      <c r="D68" s="3">
        <f t="shared" ref="D68:D75" si="2">D67+($E$62*F67)</f>
        <v>11.550077744651624</v>
      </c>
      <c r="E68" s="3"/>
      <c r="F68" s="3">
        <f t="shared" si="0"/>
        <v>2.4480230609438394</v>
      </c>
      <c r="H68" t="s">
        <v>105</v>
      </c>
    </row>
    <row r="69" spans="2:13" ht="15">
      <c r="B69" s="5">
        <v>7</v>
      </c>
      <c r="C69" s="3">
        <f t="shared" si="1"/>
        <v>3.5</v>
      </c>
      <c r="D69" s="3">
        <f t="shared" si="2"/>
        <v>12.774089275123544</v>
      </c>
      <c r="E69" s="3"/>
      <c r="F69" s="3">
        <f t="shared" si="0"/>
        <v>1.7745018649717572</v>
      </c>
      <c r="H69" t="s">
        <v>106</v>
      </c>
      <c r="M69" s="13" t="s">
        <v>192</v>
      </c>
    </row>
    <row r="70" spans="2:13" ht="15">
      <c r="B70" s="5">
        <v>8</v>
      </c>
      <c r="C70" s="3">
        <f t="shared" si="1"/>
        <v>4</v>
      </c>
      <c r="D70" s="3">
        <f t="shared" si="2"/>
        <v>13.661340207609422</v>
      </c>
      <c r="E70" s="3"/>
      <c r="F70" s="3">
        <f t="shared" si="0"/>
        <v>1.2509578335170524</v>
      </c>
      <c r="H70" t="s">
        <v>107</v>
      </c>
      <c r="M70" s="13" t="s">
        <v>193</v>
      </c>
    </row>
    <row r="71" spans="2:13" ht="15">
      <c r="B71" s="5">
        <v>9</v>
      </c>
      <c r="C71" s="3">
        <f t="shared" si="1"/>
        <v>4.5</v>
      </c>
      <c r="D71" s="3">
        <f t="shared" si="2"/>
        <v>14.286819124367948</v>
      </c>
      <c r="E71" s="3"/>
      <c r="F71" s="3">
        <f t="shared" si="0"/>
        <v>0.86563165829121047</v>
      </c>
      <c r="H71" t="s">
        <v>108</v>
      </c>
      <c r="M71" s="13" t="s">
        <v>194</v>
      </c>
    </row>
    <row r="72" spans="2:13" ht="15">
      <c r="B72" s="5">
        <v>10</v>
      </c>
      <c r="C72" s="3">
        <f t="shared" si="1"/>
        <v>5</v>
      </c>
      <c r="D72" s="3">
        <f t="shared" si="2"/>
        <v>14.719634953513554</v>
      </c>
      <c r="E72" s="3"/>
      <c r="F72" s="3">
        <f t="shared" si="0"/>
        <v>0.59160816895234447</v>
      </c>
      <c r="H72" t="s">
        <v>109</v>
      </c>
      <c r="M72" s="13" t="s">
        <v>195</v>
      </c>
    </row>
    <row r="73" spans="2:13" ht="15">
      <c r="B73" s="5">
        <v>11</v>
      </c>
      <c r="C73" s="3">
        <f t="shared" si="1"/>
        <v>5.5</v>
      </c>
      <c r="D73" s="3">
        <f t="shared" si="2"/>
        <v>15.015439037989726</v>
      </c>
      <c r="E73" s="3"/>
      <c r="F73" s="3">
        <f t="shared" si="0"/>
        <v>0.40099573442046221</v>
      </c>
      <c r="H73" t="s">
        <v>110</v>
      </c>
      <c r="M73" s="13" t="s">
        <v>196</v>
      </c>
    </row>
    <row r="74" spans="2:13">
      <c r="B74" s="5">
        <v>12</v>
      </c>
      <c r="C74" s="3">
        <f t="shared" si="1"/>
        <v>6</v>
      </c>
      <c r="D74" s="3">
        <f t="shared" si="2"/>
        <v>15.215936905199957</v>
      </c>
      <c r="E74" s="3"/>
      <c r="F74" s="3">
        <f t="shared" si="0"/>
        <v>0.27030076699496774</v>
      </c>
      <c r="H74" t="s">
        <v>111</v>
      </c>
    </row>
    <row r="75" spans="2:13">
      <c r="B75" s="5">
        <v>13</v>
      </c>
      <c r="C75" s="3">
        <f t="shared" si="1"/>
        <v>6.5</v>
      </c>
      <c r="D75" s="3">
        <f t="shared" si="2"/>
        <v>15.351087288697441</v>
      </c>
      <c r="E75" s="3"/>
      <c r="F75" s="3">
        <f t="shared" si="0"/>
        <v>0.181533006985795</v>
      </c>
      <c r="H75" t="s">
        <v>112</v>
      </c>
    </row>
    <row r="76" spans="2:13">
      <c r="B76" s="5">
        <v>14</v>
      </c>
      <c r="C76" s="3">
        <f t="shared" si="1"/>
        <v>7</v>
      </c>
      <c r="D76" s="3">
        <f>D75+($E$62*F75)</f>
        <v>15.441853792190338</v>
      </c>
      <c r="E76" s="3"/>
      <c r="F76" s="3">
        <f t="shared" si="0"/>
        <v>0.12161792019751871</v>
      </c>
      <c r="H76" t="s">
        <v>113</v>
      </c>
    </row>
    <row r="77" spans="2:13">
      <c r="B77" s="5">
        <v>15</v>
      </c>
      <c r="C77" s="3">
        <f t="shared" si="1"/>
        <v>7.5</v>
      </c>
      <c r="D77" s="3">
        <f>D76+($E$62*F76)</f>
        <v>15.502662752289098</v>
      </c>
      <c r="E77" s="3"/>
      <c r="F77" s="3">
        <f t="shared" si="0"/>
        <v>8.1344565544483771E-2</v>
      </c>
      <c r="H77" t="s">
        <v>114</v>
      </c>
    </row>
    <row r="78" spans="2:13">
      <c r="B78" s="5">
        <v>16</v>
      </c>
      <c r="C78" s="3">
        <f>C77+$E$62</f>
        <v>8</v>
      </c>
      <c r="D78" s="3">
        <f>D77+($E$62*F77)</f>
        <v>15.54333503506134</v>
      </c>
      <c r="E78" s="3"/>
      <c r="F78" s="3">
        <f t="shared" si="0"/>
        <v>5.4348238587735409E-2</v>
      </c>
      <c r="H78" t="s">
        <v>115</v>
      </c>
    </row>
    <row r="79" spans="2:13">
      <c r="B79" s="5">
        <v>17</v>
      </c>
      <c r="C79" s="3">
        <f t="shared" si="1"/>
        <v>8.5</v>
      </c>
      <c r="D79" s="3">
        <f>D78+($E$62*F78)</f>
        <v>15.570509154355207</v>
      </c>
      <c r="E79" s="3"/>
      <c r="F79" s="3">
        <f t="shared" si="0"/>
        <v>3.6284935477027602E-2</v>
      </c>
      <c r="H79" t="s">
        <v>116</v>
      </c>
    </row>
    <row r="80" spans="2:13">
      <c r="B80" s="5">
        <v>18</v>
      </c>
      <c r="C80" s="3">
        <f t="shared" si="1"/>
        <v>9</v>
      </c>
      <c r="D80" s="3">
        <f>D79+($E$62*F79)</f>
        <v>15.588651622093721</v>
      </c>
      <c r="E80" s="3"/>
      <c r="F80" s="3">
        <f t="shared" si="0"/>
        <v>2.4213442018389486E-2</v>
      </c>
      <c r="H80" t="s">
        <v>117</v>
      </c>
    </row>
    <row r="81" spans="2:8">
      <c r="B81" s="5">
        <v>19</v>
      </c>
      <c r="C81" s="3">
        <f t="shared" si="1"/>
        <v>9.5</v>
      </c>
      <c r="D81" s="3">
        <f t="shared" ref="D81" si="3">D80+($E$62*F80)</f>
        <v>15.600758343102916</v>
      </c>
      <c r="E81" s="3"/>
      <c r="F81" s="3">
        <f t="shared" si="0"/>
        <v>1.6152741028136575E-2</v>
      </c>
      <c r="H81" t="s">
        <v>118</v>
      </c>
    </row>
    <row r="82" spans="2:8">
      <c r="B82" s="5">
        <v>20</v>
      </c>
      <c r="C82" s="3">
        <f>C81+$E$62</f>
        <v>10</v>
      </c>
      <c r="D82" s="3">
        <f>D81+($E$62*F81)</f>
        <v>15.608834713616984</v>
      </c>
      <c r="E82" s="3"/>
      <c r="F82" s="3">
        <f t="shared" si="0"/>
        <v>1.0773139377644014E-2</v>
      </c>
      <c r="H82" t="s">
        <v>119</v>
      </c>
    </row>
    <row r="83" spans="2:8">
      <c r="B83" s="5">
        <v>21</v>
      </c>
      <c r="C83" s="3">
        <f t="shared" ref="C83:C94" si="4">C82+$E$62</f>
        <v>10.5</v>
      </c>
      <c r="D83" s="3">
        <f t="shared" ref="D83:D94" si="5">D82+($E$62*F82)</f>
        <v>15.614221283305806</v>
      </c>
      <c r="E83" s="3"/>
      <c r="F83" s="3">
        <f t="shared" si="0"/>
        <v>7.184158274441188E-3</v>
      </c>
      <c r="H83" t="s">
        <v>140</v>
      </c>
    </row>
    <row r="84" spans="2:8">
      <c r="B84" s="5">
        <v>22</v>
      </c>
      <c r="C84" s="3">
        <f t="shared" si="4"/>
        <v>11</v>
      </c>
      <c r="D84" s="3">
        <f t="shared" si="5"/>
        <v>15.617813362443027</v>
      </c>
      <c r="E84" s="3"/>
      <c r="F84" s="3">
        <f t="shared" si="0"/>
        <v>4.7903570085381375E-3</v>
      </c>
      <c r="H84" t="s">
        <v>141</v>
      </c>
    </row>
    <row r="85" spans="2:8">
      <c r="B85" s="5">
        <v>23</v>
      </c>
      <c r="C85" s="3">
        <f t="shared" si="4"/>
        <v>11.5</v>
      </c>
      <c r="D85" s="3">
        <f t="shared" si="5"/>
        <v>15.620208540947296</v>
      </c>
      <c r="E85" s="3"/>
      <c r="F85" s="3">
        <f t="shared" si="0"/>
        <v>3.1939794757143147E-3</v>
      </c>
      <c r="H85" t="s">
        <v>142</v>
      </c>
    </row>
    <row r="86" spans="2:8">
      <c r="B86" s="5">
        <v>24</v>
      </c>
      <c r="C86" s="3">
        <f t="shared" si="4"/>
        <v>12</v>
      </c>
      <c r="D86" s="3">
        <f t="shared" si="5"/>
        <v>15.621805530685153</v>
      </c>
      <c r="E86" s="3"/>
      <c r="F86" s="3">
        <f t="shared" si="0"/>
        <v>2.1295010641360079E-3</v>
      </c>
      <c r="H86" t="s">
        <v>143</v>
      </c>
    </row>
    <row r="87" spans="2:8">
      <c r="B87" s="5">
        <v>25</v>
      </c>
      <c r="C87" s="3">
        <f t="shared" si="4"/>
        <v>12.5</v>
      </c>
      <c r="D87" s="3">
        <f t="shared" si="5"/>
        <v>15.622870281217221</v>
      </c>
      <c r="E87" s="3"/>
      <c r="F87" s="3">
        <f t="shared" si="0"/>
        <v>1.4197480101785231E-3</v>
      </c>
      <c r="H87" t="s">
        <v>144</v>
      </c>
    </row>
    <row r="88" spans="2:8">
      <c r="B88" s="5">
        <v>26</v>
      </c>
      <c r="C88" s="3">
        <f t="shared" si="4"/>
        <v>13</v>
      </c>
      <c r="D88" s="3">
        <f t="shared" si="5"/>
        <v>15.62358015522231</v>
      </c>
      <c r="E88" s="3"/>
      <c r="F88" s="3">
        <f t="shared" si="0"/>
        <v>9.46534512543451E-4</v>
      </c>
      <c r="H88" t="s">
        <v>145</v>
      </c>
    </row>
    <row r="89" spans="2:8">
      <c r="B89" s="5">
        <v>27</v>
      </c>
      <c r="C89" s="3">
        <f t="shared" si="4"/>
        <v>13.5</v>
      </c>
      <c r="D89" s="3">
        <f t="shared" si="5"/>
        <v>15.624053422478582</v>
      </c>
      <c r="E89" s="3"/>
      <c r="F89" s="3">
        <f t="shared" si="0"/>
        <v>6.3103893736027317E-4</v>
      </c>
      <c r="H89" t="s">
        <v>146</v>
      </c>
    </row>
    <row r="90" spans="2:8">
      <c r="B90" s="5">
        <v>28</v>
      </c>
      <c r="C90" s="3">
        <f t="shared" si="4"/>
        <v>14</v>
      </c>
      <c r="D90" s="3">
        <f t="shared" si="5"/>
        <v>15.624368941947262</v>
      </c>
      <c r="E90" s="3"/>
      <c r="F90" s="3">
        <f t="shared" si="0"/>
        <v>4.2069970461611206E-4</v>
      </c>
      <c r="H90" t="s">
        <v>147</v>
      </c>
    </row>
    <row r="91" spans="2:8">
      <c r="B91" s="5">
        <v>29</v>
      </c>
      <c r="C91" s="3">
        <f t="shared" si="4"/>
        <v>14.5</v>
      </c>
      <c r="D91" s="3">
        <f t="shared" si="5"/>
        <v>15.62457929179957</v>
      </c>
      <c r="E91" s="3"/>
      <c r="F91" s="3">
        <f t="shared" si="0"/>
        <v>2.8046961632099965E-4</v>
      </c>
      <c r="H91" t="s">
        <v>148</v>
      </c>
    </row>
    <row r="92" spans="2:8">
      <c r="B92" s="5">
        <v>30</v>
      </c>
      <c r="C92" s="3">
        <f t="shared" si="4"/>
        <v>15</v>
      </c>
      <c r="D92" s="3">
        <f t="shared" si="5"/>
        <v>15.624719526607731</v>
      </c>
      <c r="E92" s="3"/>
      <c r="F92" s="3">
        <f t="shared" si="0"/>
        <v>1.8698114270421229E-4</v>
      </c>
      <c r="H92" t="s">
        <v>149</v>
      </c>
    </row>
    <row r="93" spans="2:8">
      <c r="B93" s="5">
        <v>31</v>
      </c>
      <c r="C93" s="3">
        <f t="shared" si="4"/>
        <v>15.5</v>
      </c>
      <c r="D93" s="3">
        <f t="shared" si="5"/>
        <v>15.624813017179083</v>
      </c>
      <c r="E93" s="3"/>
      <c r="F93" s="3">
        <f t="shared" si="0"/>
        <v>1.2465471669997896E-4</v>
      </c>
      <c r="H93" t="s">
        <v>150</v>
      </c>
    </row>
    <row r="94" spans="2:8">
      <c r="B94" s="5">
        <v>32</v>
      </c>
      <c r="C94" s="3">
        <f t="shared" si="4"/>
        <v>16</v>
      </c>
      <c r="D94" s="6">
        <f t="shared" si="5"/>
        <v>15.624875344537433</v>
      </c>
      <c r="E94" s="3"/>
      <c r="F94" s="3">
        <f t="shared" si="0"/>
        <v>8.3103420713825926E-5</v>
      </c>
      <c r="H94" t="s">
        <v>151</v>
      </c>
    </row>
    <row r="95" spans="2:8">
      <c r="D95" s="17" t="s">
        <v>190</v>
      </c>
    </row>
    <row r="98" spans="2:14">
      <c r="B98" t="s">
        <v>182</v>
      </c>
    </row>
    <row r="100" spans="2:14">
      <c r="B100" t="s">
        <v>183</v>
      </c>
    </row>
    <row r="103" spans="2:14">
      <c r="B103" t="s">
        <v>184</v>
      </c>
      <c r="H103" t="s">
        <v>186</v>
      </c>
      <c r="N103" t="s">
        <v>185</v>
      </c>
    </row>
    <row r="120" spans="2:2" ht="21">
      <c r="B120" s="1" t="s">
        <v>31</v>
      </c>
    </row>
    <row r="123" spans="2:2">
      <c r="B123" t="s">
        <v>32</v>
      </c>
    </row>
    <row r="128" spans="2:2">
      <c r="B128" t="s">
        <v>33</v>
      </c>
    </row>
    <row r="130" spans="2:10">
      <c r="C130" t="s">
        <v>34</v>
      </c>
    </row>
    <row r="131" spans="2:10">
      <c r="C131" t="s">
        <v>35</v>
      </c>
    </row>
    <row r="133" spans="2:10">
      <c r="C133" t="s">
        <v>36</v>
      </c>
    </row>
    <row r="136" spans="2:10">
      <c r="B136" t="s">
        <v>37</v>
      </c>
    </row>
    <row r="141" spans="2:10">
      <c r="B141" t="s">
        <v>81</v>
      </c>
      <c r="C141" t="s">
        <v>98</v>
      </c>
    </row>
    <row r="143" spans="2:10">
      <c r="F143" s="9" t="s">
        <v>43</v>
      </c>
      <c r="G143" s="10" t="s">
        <v>64</v>
      </c>
      <c r="H143" s="18" t="s">
        <v>42</v>
      </c>
      <c r="I143" s="18"/>
    </row>
    <row r="144" spans="2:10">
      <c r="B144" s="7" t="s">
        <v>3</v>
      </c>
      <c r="C144" s="7" t="s">
        <v>4</v>
      </c>
      <c r="D144" s="7" t="s">
        <v>78</v>
      </c>
      <c r="E144" s="8" t="s">
        <v>6</v>
      </c>
      <c r="F144" s="9" t="s">
        <v>79</v>
      </c>
      <c r="G144" s="10" t="s">
        <v>39</v>
      </c>
      <c r="H144" s="11" t="s">
        <v>41</v>
      </c>
      <c r="I144" s="11" t="s">
        <v>80</v>
      </c>
      <c r="J144" s="7" t="s">
        <v>38</v>
      </c>
    </row>
    <row r="145" spans="2:16">
      <c r="B145" s="12">
        <v>0</v>
      </c>
      <c r="C145" s="3">
        <v>0</v>
      </c>
      <c r="D145" s="3">
        <v>0.5</v>
      </c>
      <c r="E145" s="3">
        <v>0.5</v>
      </c>
      <c r="F145" s="3">
        <f>(5*(D145^(2/3)))-(2*D145)</f>
        <v>2.1498026247371831</v>
      </c>
      <c r="G145" s="3">
        <f>C145+$E$145</f>
        <v>0.5</v>
      </c>
      <c r="H145" s="3">
        <f>$E$145*F145</f>
        <v>1.0749013123685915</v>
      </c>
      <c r="I145" s="3">
        <f>D145+H145</f>
        <v>1.5749013123685915</v>
      </c>
      <c r="J145" s="3">
        <f>(5*(I145^(2/3)))-(2*I145)</f>
        <v>3.6183825804897447</v>
      </c>
      <c r="L145" t="s">
        <v>99</v>
      </c>
    </row>
    <row r="146" spans="2:16">
      <c r="B146" s="12">
        <v>1</v>
      </c>
      <c r="C146" s="3">
        <f>C145+$E$145</f>
        <v>0.5</v>
      </c>
      <c r="D146" s="3">
        <f>D145+(($E$145/2)*(F145+J145))</f>
        <v>1.9420463013067319</v>
      </c>
      <c r="E146" s="3"/>
      <c r="F146" s="3">
        <f t="shared" ref="F146:F188" si="6">(5*(D146^(2/3)))-(2*D146)</f>
        <v>3.8988362006114583</v>
      </c>
      <c r="G146" s="3">
        <f>C146+$E$145</f>
        <v>1</v>
      </c>
      <c r="H146" s="3">
        <f t="shared" ref="H146:H151" si="7">$E$145*F146</f>
        <v>1.9494181003057292</v>
      </c>
      <c r="I146" s="3">
        <f t="shared" ref="I146:I151" si="8">D146+H146</f>
        <v>3.8914644016124611</v>
      </c>
      <c r="J146" s="3">
        <f t="shared" ref="J146:J188" si="9">(5*(I146^(2/3)))-(2*I146)</f>
        <v>4.5873279073770901</v>
      </c>
      <c r="L146" t="s">
        <v>120</v>
      </c>
    </row>
    <row r="147" spans="2:16">
      <c r="B147" s="12">
        <v>2</v>
      </c>
      <c r="C147" s="3">
        <f t="shared" ref="C147:C188" si="10">C146+$E$145</f>
        <v>1</v>
      </c>
      <c r="D147" s="3">
        <f t="shared" ref="D147:D188" si="11">D146+(($E$145/2)*(F146+J146))</f>
        <v>4.0635873283038695</v>
      </c>
      <c r="E147" s="3"/>
      <c r="F147" s="3">
        <f t="shared" si="6"/>
        <v>4.605209570472601</v>
      </c>
      <c r="G147" s="3">
        <f t="shared" ref="G147:G188" si="12">C147+$E$145</f>
        <v>1.5</v>
      </c>
      <c r="H147" s="3">
        <f t="shared" si="7"/>
        <v>2.3026047852363005</v>
      </c>
      <c r="I147" s="3">
        <f t="shared" si="8"/>
        <v>6.36619211354017</v>
      </c>
      <c r="J147" s="3">
        <f t="shared" si="9"/>
        <v>4.4423423256776626</v>
      </c>
      <c r="L147" t="s">
        <v>121</v>
      </c>
    </row>
    <row r="148" spans="2:16">
      <c r="B148" s="12">
        <v>3</v>
      </c>
      <c r="C148" s="3">
        <f t="shared" si="10"/>
        <v>1.5</v>
      </c>
      <c r="D148" s="3">
        <f t="shared" si="11"/>
        <v>6.3254753023414354</v>
      </c>
      <c r="E148" s="3"/>
      <c r="F148" s="3">
        <f t="shared" si="6"/>
        <v>4.45046706452767</v>
      </c>
      <c r="G148" s="3">
        <f t="shared" si="12"/>
        <v>2</v>
      </c>
      <c r="H148" s="3">
        <f>$E$145*F148</f>
        <v>2.225233532263835</v>
      </c>
      <c r="I148" s="3">
        <f t="shared" si="8"/>
        <v>8.5507088346052704</v>
      </c>
      <c r="J148" s="3">
        <f t="shared" si="9"/>
        <v>3.8062096353458017</v>
      </c>
      <c r="L148" t="s">
        <v>122</v>
      </c>
    </row>
    <row r="149" spans="2:16">
      <c r="B149" s="12">
        <v>4</v>
      </c>
      <c r="C149" s="3">
        <f t="shared" si="10"/>
        <v>2</v>
      </c>
      <c r="D149" s="3">
        <f t="shared" si="11"/>
        <v>8.3896444773098029</v>
      </c>
      <c r="E149" s="3"/>
      <c r="F149" s="3">
        <f t="shared" si="6"/>
        <v>3.8649578558813253</v>
      </c>
      <c r="G149" s="3">
        <f t="shared" si="12"/>
        <v>2.5</v>
      </c>
      <c r="H149" s="3">
        <f t="shared" si="7"/>
        <v>1.9324789279406627</v>
      </c>
      <c r="I149" s="3">
        <f t="shared" si="8"/>
        <v>10.322123405250466</v>
      </c>
      <c r="J149" s="3">
        <f t="shared" si="9"/>
        <v>3.0594473854638409</v>
      </c>
      <c r="L149" t="s">
        <v>123</v>
      </c>
    </row>
    <row r="150" spans="2:16">
      <c r="B150" s="12">
        <v>5</v>
      </c>
      <c r="C150" s="3">
        <f t="shared" si="10"/>
        <v>2.5</v>
      </c>
      <c r="D150" s="3">
        <f t="shared" si="11"/>
        <v>10.120745787646094</v>
      </c>
      <c r="E150" s="3"/>
      <c r="F150" s="3">
        <f t="shared" si="6"/>
        <v>3.1528960724856958</v>
      </c>
      <c r="G150" s="3">
        <f t="shared" si="12"/>
        <v>3</v>
      </c>
      <c r="H150" s="3">
        <f t="shared" si="7"/>
        <v>1.5764480362428479</v>
      </c>
      <c r="I150" s="3">
        <f t="shared" si="8"/>
        <v>11.697193823888941</v>
      </c>
      <c r="J150" s="3">
        <f t="shared" si="9"/>
        <v>2.3702750889533064</v>
      </c>
      <c r="L150" t="s">
        <v>124</v>
      </c>
      <c r="O150" s="2" t="s">
        <v>175</v>
      </c>
    </row>
    <row r="151" spans="2:16">
      <c r="B151" s="12">
        <v>6</v>
      </c>
      <c r="C151" s="3">
        <f t="shared" si="10"/>
        <v>3</v>
      </c>
      <c r="D151" s="3">
        <f t="shared" si="11"/>
        <v>11.501538578005844</v>
      </c>
      <c r="E151" s="3"/>
      <c r="F151" s="3">
        <f t="shared" si="6"/>
        <v>2.4734737378645697</v>
      </c>
      <c r="G151" s="3">
        <f t="shared" si="12"/>
        <v>3.5</v>
      </c>
      <c r="H151" s="3">
        <f t="shared" si="7"/>
        <v>1.2367368689322848</v>
      </c>
      <c r="I151" s="3">
        <f t="shared" si="8"/>
        <v>12.738275446938129</v>
      </c>
      <c r="J151" s="3">
        <f t="shared" si="9"/>
        <v>1.7950371592493646</v>
      </c>
      <c r="L151" t="s">
        <v>125</v>
      </c>
    </row>
    <row r="152" spans="2:16" ht="15">
      <c r="B152" s="12">
        <v>7</v>
      </c>
      <c r="C152" s="3">
        <f t="shared" si="10"/>
        <v>3.5</v>
      </c>
      <c r="D152" s="3">
        <f t="shared" si="11"/>
        <v>12.568666302284328</v>
      </c>
      <c r="E152" s="3"/>
      <c r="F152" s="3">
        <f t="shared" si="6"/>
        <v>1.8916356537778753</v>
      </c>
      <c r="G152" s="3">
        <f t="shared" si="12"/>
        <v>4</v>
      </c>
      <c r="H152" s="3">
        <f>$E$145*F152</f>
        <v>0.94581782688893767</v>
      </c>
      <c r="I152" s="3">
        <f>D152+H152</f>
        <v>13.514484129173265</v>
      </c>
      <c r="J152" s="3">
        <f t="shared" si="9"/>
        <v>1.3395282505040811</v>
      </c>
      <c r="L152" t="s">
        <v>126</v>
      </c>
      <c r="P152" s="13" t="s">
        <v>197</v>
      </c>
    </row>
    <row r="153" spans="2:16" ht="15">
      <c r="B153" s="12">
        <v>8</v>
      </c>
      <c r="C153" s="3">
        <f>C152+$E$145</f>
        <v>4</v>
      </c>
      <c r="D153" s="3">
        <f t="shared" si="11"/>
        <v>13.376457278354817</v>
      </c>
      <c r="E153" s="3"/>
      <c r="F153" s="3">
        <f t="shared" si="6"/>
        <v>1.4220952294137525</v>
      </c>
      <c r="G153" s="3">
        <f t="shared" si="12"/>
        <v>4.5</v>
      </c>
      <c r="H153" s="3">
        <f t="shared" ref="H153:H188" si="13">$E$145*F153</f>
        <v>0.71104761470687627</v>
      </c>
      <c r="I153" s="3">
        <f t="shared" ref="I153:I188" si="14">D153+H153</f>
        <v>14.087504893061693</v>
      </c>
      <c r="J153" s="3">
        <f t="shared" si="9"/>
        <v>0.98981629459815323</v>
      </c>
      <c r="L153" t="s">
        <v>127</v>
      </c>
      <c r="P153" s="13" t="s">
        <v>198</v>
      </c>
    </row>
    <row r="154" spans="2:16" ht="15">
      <c r="B154" s="12">
        <v>9</v>
      </c>
      <c r="C154" s="3">
        <f t="shared" si="10"/>
        <v>4.5</v>
      </c>
      <c r="D154" s="3">
        <f t="shared" si="11"/>
        <v>13.979435159357793</v>
      </c>
      <c r="E154" s="3"/>
      <c r="F154" s="3">
        <f t="shared" si="6"/>
        <v>1.0566092973431687</v>
      </c>
      <c r="G154" s="3">
        <f t="shared" si="12"/>
        <v>5</v>
      </c>
      <c r="H154" s="3">
        <f t="shared" si="13"/>
        <v>0.52830464867158433</v>
      </c>
      <c r="I154" s="3">
        <f t="shared" si="14"/>
        <v>14.507739808029378</v>
      </c>
      <c r="J154" s="3">
        <f t="shared" si="9"/>
        <v>0.72649804041568444</v>
      </c>
      <c r="L154" t="s">
        <v>128</v>
      </c>
      <c r="P154" s="13" t="s">
        <v>199</v>
      </c>
    </row>
    <row r="155" spans="2:16" ht="15">
      <c r="B155" s="12">
        <v>10</v>
      </c>
      <c r="C155" s="3">
        <f t="shared" si="10"/>
        <v>5</v>
      </c>
      <c r="D155" s="3">
        <f t="shared" si="11"/>
        <v>14.425211993797507</v>
      </c>
      <c r="E155" s="3"/>
      <c r="F155" s="3">
        <f t="shared" si="6"/>
        <v>0.77865423420850632</v>
      </c>
      <c r="G155" s="3">
        <f t="shared" si="12"/>
        <v>5.5</v>
      </c>
      <c r="H155" s="3">
        <f t="shared" si="13"/>
        <v>0.38932711710425316</v>
      </c>
      <c r="I155" s="3">
        <f t="shared" si="14"/>
        <v>14.814539110901761</v>
      </c>
      <c r="J155" s="3">
        <f t="shared" si="9"/>
        <v>0.53074332919998923</v>
      </c>
      <c r="L155" t="s">
        <v>129</v>
      </c>
      <c r="P155" s="13" t="s">
        <v>200</v>
      </c>
    </row>
    <row r="156" spans="2:16">
      <c r="B156" s="12">
        <v>11</v>
      </c>
      <c r="C156" s="3">
        <f t="shared" si="10"/>
        <v>5.5</v>
      </c>
      <c r="D156" s="3">
        <f t="shared" si="11"/>
        <v>14.752561384649631</v>
      </c>
      <c r="E156" s="3"/>
      <c r="F156" s="3">
        <f t="shared" si="6"/>
        <v>0.57052278279685709</v>
      </c>
      <c r="G156" s="3">
        <f t="shared" si="12"/>
        <v>6</v>
      </c>
      <c r="H156" s="3">
        <f t="shared" si="13"/>
        <v>0.28526139139842854</v>
      </c>
      <c r="I156" s="3">
        <f t="shared" si="14"/>
        <v>15.03782277604806</v>
      </c>
      <c r="J156" s="3">
        <f t="shared" si="9"/>
        <v>0.38646424681635239</v>
      </c>
      <c r="L156" t="s">
        <v>130</v>
      </c>
    </row>
    <row r="157" spans="2:16">
      <c r="B157" s="12">
        <v>12</v>
      </c>
      <c r="C157" s="3">
        <f t="shared" si="10"/>
        <v>6</v>
      </c>
      <c r="D157" s="3">
        <f t="shared" si="11"/>
        <v>14.991808142052934</v>
      </c>
      <c r="E157" s="3"/>
      <c r="F157" s="3">
        <f t="shared" si="6"/>
        <v>0.41632056689103081</v>
      </c>
      <c r="G157" s="3">
        <f t="shared" si="12"/>
        <v>6.5</v>
      </c>
      <c r="H157" s="3">
        <f t="shared" si="13"/>
        <v>0.2081602834455154</v>
      </c>
      <c r="I157" s="3">
        <f t="shared" si="14"/>
        <v>15.199968425498449</v>
      </c>
      <c r="J157" s="3">
        <f t="shared" si="9"/>
        <v>0.28075354845933376</v>
      </c>
      <c r="L157" t="s">
        <v>131</v>
      </c>
    </row>
    <row r="158" spans="2:16">
      <c r="B158" s="12">
        <v>13</v>
      </c>
      <c r="C158" s="3">
        <f t="shared" si="10"/>
        <v>6.5</v>
      </c>
      <c r="D158" s="3">
        <f t="shared" si="11"/>
        <v>15.166076670890526</v>
      </c>
      <c r="E158" s="3"/>
      <c r="F158" s="3">
        <f t="shared" si="6"/>
        <v>0.30291375091239559</v>
      </c>
      <c r="G158" s="3">
        <f t="shared" si="12"/>
        <v>7</v>
      </c>
      <c r="H158" s="3">
        <f t="shared" si="13"/>
        <v>0.15145687545619779</v>
      </c>
      <c r="I158" s="3">
        <f t="shared" si="14"/>
        <v>15.317533546346723</v>
      </c>
      <c r="J158" s="3">
        <f t="shared" si="9"/>
        <v>0.20362123373244856</v>
      </c>
      <c r="L158" t="s">
        <v>132</v>
      </c>
    </row>
    <row r="159" spans="2:16">
      <c r="B159" s="12">
        <v>14</v>
      </c>
      <c r="C159" s="3">
        <f t="shared" si="10"/>
        <v>7</v>
      </c>
      <c r="D159" s="3">
        <f t="shared" si="11"/>
        <v>15.292710417051737</v>
      </c>
      <c r="E159" s="3"/>
      <c r="F159" s="3">
        <f t="shared" si="6"/>
        <v>0.21994099296688319</v>
      </c>
      <c r="G159" s="3">
        <f t="shared" si="12"/>
        <v>7.5</v>
      </c>
      <c r="H159" s="3">
        <f t="shared" si="13"/>
        <v>0.10997049648344159</v>
      </c>
      <c r="I159" s="3">
        <f t="shared" si="14"/>
        <v>15.402680913535178</v>
      </c>
      <c r="J159" s="3">
        <f t="shared" si="9"/>
        <v>0.14750529744897634</v>
      </c>
      <c r="L159" t="s">
        <v>133</v>
      </c>
    </row>
    <row r="160" spans="2:16">
      <c r="B160" s="12">
        <v>15</v>
      </c>
      <c r="C160" s="3">
        <f>C159+$E$145</f>
        <v>7.5</v>
      </c>
      <c r="D160" s="3">
        <f t="shared" si="11"/>
        <v>15.384571989655701</v>
      </c>
      <c r="E160" s="3"/>
      <c r="F160" s="3">
        <f t="shared" si="6"/>
        <v>0.15945754237147725</v>
      </c>
      <c r="G160" s="3">
        <f t="shared" si="12"/>
        <v>8</v>
      </c>
      <c r="H160" s="3">
        <f t="shared" si="13"/>
        <v>7.9728771185738623E-2</v>
      </c>
      <c r="I160" s="3">
        <f t="shared" si="14"/>
        <v>15.464300760841439</v>
      </c>
      <c r="J160" s="3">
        <f t="shared" si="9"/>
        <v>0.10676385897768625</v>
      </c>
      <c r="L160" t="s">
        <v>134</v>
      </c>
    </row>
    <row r="161" spans="2:12">
      <c r="B161" s="12">
        <v>16</v>
      </c>
      <c r="C161" s="3">
        <f t="shared" si="10"/>
        <v>8</v>
      </c>
      <c r="D161" s="3">
        <f t="shared" si="11"/>
        <v>15.451127339992992</v>
      </c>
      <c r="E161" s="3"/>
      <c r="F161" s="3">
        <f t="shared" si="6"/>
        <v>0.11548300431432423</v>
      </c>
      <c r="G161" s="3">
        <f t="shared" si="12"/>
        <v>8.5</v>
      </c>
      <c r="H161" s="3">
        <f t="shared" si="13"/>
        <v>5.7741502157162117E-2</v>
      </c>
      <c r="I161" s="3">
        <f t="shared" si="14"/>
        <v>15.508868842150154</v>
      </c>
      <c r="J161" s="3">
        <f t="shared" si="9"/>
        <v>7.7228328315548822E-2</v>
      </c>
      <c r="L161" t="s">
        <v>135</v>
      </c>
    </row>
    <row r="162" spans="2:12">
      <c r="B162" s="12">
        <v>17</v>
      </c>
      <c r="C162" s="3">
        <f t="shared" si="10"/>
        <v>8.5</v>
      </c>
      <c r="D162" s="3">
        <f t="shared" si="11"/>
        <v>15.499305173150461</v>
      </c>
      <c r="E162" s="3"/>
      <c r="F162" s="3">
        <f t="shared" si="6"/>
        <v>8.3571044486014046E-2</v>
      </c>
      <c r="G162" s="3">
        <f t="shared" si="12"/>
        <v>9</v>
      </c>
      <c r="H162" s="3">
        <f t="shared" si="13"/>
        <v>4.1785522243007023E-2</v>
      </c>
      <c r="I162" s="3">
        <f t="shared" si="14"/>
        <v>15.541090695393468</v>
      </c>
      <c r="J162" s="3">
        <f t="shared" si="9"/>
        <v>5.5839161238949941E-2</v>
      </c>
      <c r="L162" t="s">
        <v>136</v>
      </c>
    </row>
    <row r="163" spans="2:12">
      <c r="B163" s="12">
        <v>18</v>
      </c>
      <c r="C163" s="3">
        <f t="shared" si="10"/>
        <v>9</v>
      </c>
      <c r="D163" s="3">
        <f t="shared" si="11"/>
        <v>15.534157724581702</v>
      </c>
      <c r="E163" s="3"/>
      <c r="F163" s="3">
        <f t="shared" si="6"/>
        <v>6.0443846328656292E-2</v>
      </c>
      <c r="G163" s="3">
        <f t="shared" si="12"/>
        <v>9.5</v>
      </c>
      <c r="H163" s="3">
        <f t="shared" si="13"/>
        <v>3.0221923164328146E-2</v>
      </c>
      <c r="I163" s="3">
        <f t="shared" si="14"/>
        <v>15.56437964774603</v>
      </c>
      <c r="J163" s="3">
        <f t="shared" si="9"/>
        <v>4.0361213637272186E-2</v>
      </c>
      <c r="L163" t="s">
        <v>137</v>
      </c>
    </row>
    <row r="164" spans="2:12">
      <c r="B164" s="12">
        <v>19</v>
      </c>
      <c r="C164" s="3">
        <f t="shared" si="10"/>
        <v>9.5</v>
      </c>
      <c r="D164" s="3">
        <f t="shared" si="11"/>
        <v>15.559358989573184</v>
      </c>
      <c r="E164" s="3"/>
      <c r="F164" s="3">
        <f t="shared" si="6"/>
        <v>4.3699279029883797E-2</v>
      </c>
      <c r="G164" s="3">
        <f t="shared" si="12"/>
        <v>10</v>
      </c>
      <c r="H164" s="3">
        <f t="shared" si="13"/>
        <v>2.1849639514941899E-2</v>
      </c>
      <c r="I164" s="3">
        <f t="shared" si="14"/>
        <v>15.581208629088126</v>
      </c>
      <c r="J164" s="3">
        <f t="shared" si="9"/>
        <v>2.9166939515828716E-2</v>
      </c>
      <c r="L164" t="s">
        <v>138</v>
      </c>
    </row>
    <row r="165" spans="2:12">
      <c r="B165" s="12">
        <v>20</v>
      </c>
      <c r="C165" s="3">
        <f t="shared" si="10"/>
        <v>10</v>
      </c>
      <c r="D165" s="3">
        <f t="shared" si="11"/>
        <v>15.577575544209612</v>
      </c>
      <c r="E165" s="3"/>
      <c r="F165" s="3">
        <f t="shared" si="6"/>
        <v>3.1584273733148649E-2</v>
      </c>
      <c r="G165" s="3">
        <f t="shared" si="12"/>
        <v>10.5</v>
      </c>
      <c r="H165" s="3">
        <f t="shared" si="13"/>
        <v>1.5792136866574324E-2</v>
      </c>
      <c r="I165" s="3">
        <f t="shared" si="14"/>
        <v>15.593367681076186</v>
      </c>
      <c r="J165" s="3">
        <f t="shared" si="9"/>
        <v>2.10739689896009E-2</v>
      </c>
      <c r="L165" t="s">
        <v>139</v>
      </c>
    </row>
    <row r="166" spans="2:12">
      <c r="B166" s="12">
        <v>21</v>
      </c>
      <c r="C166" s="3">
        <f t="shared" si="10"/>
        <v>10.5</v>
      </c>
      <c r="D166" s="3">
        <f t="shared" si="11"/>
        <v>15.590740104890299</v>
      </c>
      <c r="E166" s="3"/>
      <c r="F166" s="3">
        <f t="shared" si="6"/>
        <v>2.2823220587731896E-2</v>
      </c>
      <c r="G166" s="3">
        <f t="shared" si="12"/>
        <v>11</v>
      </c>
      <c r="H166" s="3">
        <f t="shared" si="13"/>
        <v>1.1411610293865948E-2</v>
      </c>
      <c r="I166" s="3">
        <f t="shared" si="14"/>
        <v>15.602151715184165</v>
      </c>
      <c r="J166" s="3">
        <f t="shared" si="9"/>
        <v>1.5224760420309735E-2</v>
      </c>
      <c r="L166" t="s">
        <v>152</v>
      </c>
    </row>
    <row r="167" spans="2:12">
      <c r="B167" s="12">
        <v>22</v>
      </c>
      <c r="C167" s="3">
        <f t="shared" si="10"/>
        <v>11</v>
      </c>
      <c r="D167" s="3">
        <f t="shared" si="11"/>
        <v>15.60025210014231</v>
      </c>
      <c r="E167" s="3"/>
      <c r="F167" s="3">
        <f t="shared" si="6"/>
        <v>1.6489883246208592E-2</v>
      </c>
      <c r="G167" s="3">
        <f t="shared" si="12"/>
        <v>11.5</v>
      </c>
      <c r="H167" s="3">
        <f t="shared" si="13"/>
        <v>8.244941623104296E-3</v>
      </c>
      <c r="I167" s="3">
        <f t="shared" si="14"/>
        <v>15.608497041765414</v>
      </c>
      <c r="J167" s="3">
        <f t="shared" si="9"/>
        <v>1.099809694851217E-2</v>
      </c>
      <c r="L167" t="s">
        <v>153</v>
      </c>
    </row>
    <row r="168" spans="2:12">
      <c r="B168" s="12">
        <v>23</v>
      </c>
      <c r="C168" s="3">
        <f t="shared" si="10"/>
        <v>11.5</v>
      </c>
      <c r="D168" s="3">
        <f t="shared" si="11"/>
        <v>15.60712409519099</v>
      </c>
      <c r="E168" s="3"/>
      <c r="F168" s="3">
        <f t="shared" si="6"/>
        <v>1.1912722878005155E-2</v>
      </c>
      <c r="G168" s="3">
        <f t="shared" si="12"/>
        <v>12</v>
      </c>
      <c r="H168" s="3">
        <f t="shared" si="13"/>
        <v>5.9563614390025776E-3</v>
      </c>
      <c r="I168" s="3">
        <f t="shared" si="14"/>
        <v>15.613080456629993</v>
      </c>
      <c r="J168" s="3">
        <f t="shared" si="9"/>
        <v>7.9443409317541125E-3</v>
      </c>
      <c r="L168" t="s">
        <v>154</v>
      </c>
    </row>
    <row r="169" spans="2:12">
      <c r="B169" s="12">
        <v>24</v>
      </c>
      <c r="C169" s="3">
        <f t="shared" si="10"/>
        <v>12</v>
      </c>
      <c r="D169" s="3">
        <f t="shared" si="11"/>
        <v>15.61208836114343</v>
      </c>
      <c r="E169" s="3"/>
      <c r="F169" s="3">
        <f t="shared" si="6"/>
        <v>8.6053873739011522E-3</v>
      </c>
      <c r="G169" s="3">
        <f t="shared" si="12"/>
        <v>12.5</v>
      </c>
      <c r="H169" s="3">
        <f t="shared" si="13"/>
        <v>4.3026936869505761E-3</v>
      </c>
      <c r="I169" s="3">
        <f t="shared" si="14"/>
        <v>15.61639105483038</v>
      </c>
      <c r="J169" s="3">
        <f t="shared" si="9"/>
        <v>5.7382424566654322E-3</v>
      </c>
      <c r="L169" t="s">
        <v>155</v>
      </c>
    </row>
    <row r="170" spans="2:12">
      <c r="B170" s="12">
        <v>25</v>
      </c>
      <c r="C170" s="3">
        <f t="shared" si="10"/>
        <v>12.5</v>
      </c>
      <c r="D170" s="3">
        <f t="shared" si="11"/>
        <v>15.615674268601072</v>
      </c>
      <c r="E170" s="3"/>
      <c r="F170" s="3">
        <f t="shared" si="6"/>
        <v>6.2159170414943787E-3</v>
      </c>
      <c r="G170" s="3">
        <f t="shared" si="12"/>
        <v>13</v>
      </c>
      <c r="H170" s="3">
        <f t="shared" si="13"/>
        <v>3.1079585207471894E-3</v>
      </c>
      <c r="I170" s="3">
        <f t="shared" si="14"/>
        <v>15.61878222712182</v>
      </c>
      <c r="J170" s="3">
        <f t="shared" si="9"/>
        <v>4.1446319804521181E-3</v>
      </c>
      <c r="L170" t="s">
        <v>156</v>
      </c>
    </row>
    <row r="171" spans="2:12">
      <c r="B171" s="12">
        <v>26</v>
      </c>
      <c r="C171" s="3">
        <f t="shared" si="10"/>
        <v>13</v>
      </c>
      <c r="D171" s="3">
        <f t="shared" si="11"/>
        <v>15.618264405856559</v>
      </c>
      <c r="E171" s="3"/>
      <c r="F171" s="3">
        <f t="shared" si="6"/>
        <v>4.4897507349475063E-3</v>
      </c>
      <c r="G171" s="3">
        <f t="shared" si="12"/>
        <v>13.5</v>
      </c>
      <c r="H171" s="3">
        <f t="shared" si="13"/>
        <v>2.2448753674737532E-3</v>
      </c>
      <c r="I171" s="3">
        <f t="shared" si="14"/>
        <v>15.620509281224033</v>
      </c>
      <c r="J171" s="3">
        <f t="shared" si="9"/>
        <v>2.9935256674455957E-3</v>
      </c>
      <c r="L171" t="s">
        <v>157</v>
      </c>
    </row>
    <row r="172" spans="2:12">
      <c r="B172" s="12">
        <v>27</v>
      </c>
      <c r="C172" s="3">
        <f t="shared" si="10"/>
        <v>13.5</v>
      </c>
      <c r="D172" s="3">
        <f t="shared" si="11"/>
        <v>15.620135224957156</v>
      </c>
      <c r="E172" s="3"/>
      <c r="F172" s="3">
        <f t="shared" si="6"/>
        <v>3.2428467316805154E-3</v>
      </c>
      <c r="G172" s="3">
        <f t="shared" si="12"/>
        <v>14</v>
      </c>
      <c r="H172" s="3">
        <f t="shared" si="13"/>
        <v>1.6214233658402577E-3</v>
      </c>
      <c r="I172" s="3">
        <f t="shared" si="14"/>
        <v>15.621756648322997</v>
      </c>
      <c r="J172" s="3">
        <f t="shared" si="9"/>
        <v>2.1620848292727146E-3</v>
      </c>
      <c r="L172" t="s">
        <v>158</v>
      </c>
    </row>
    <row r="173" spans="2:12">
      <c r="B173" s="12">
        <v>28</v>
      </c>
      <c r="C173" s="3">
        <f t="shared" si="10"/>
        <v>14</v>
      </c>
      <c r="D173" s="3">
        <f t="shared" si="11"/>
        <v>15.621486457847395</v>
      </c>
      <c r="E173" s="3"/>
      <c r="F173" s="3">
        <f t="shared" si="6"/>
        <v>2.3421858444940824E-3</v>
      </c>
      <c r="G173" s="3">
        <f t="shared" si="12"/>
        <v>14.5</v>
      </c>
      <c r="H173" s="3">
        <f t="shared" si="13"/>
        <v>1.1710929222470412E-3</v>
      </c>
      <c r="I173" s="3">
        <f t="shared" si="14"/>
        <v>15.622657550769642</v>
      </c>
      <c r="J173" s="3">
        <f t="shared" si="9"/>
        <v>1.5615547767353632E-3</v>
      </c>
      <c r="L173" t="s">
        <v>159</v>
      </c>
    </row>
    <row r="174" spans="2:12">
      <c r="B174" s="12">
        <v>29</v>
      </c>
      <c r="C174" s="3">
        <f t="shared" si="10"/>
        <v>14.5</v>
      </c>
      <c r="D174" s="3">
        <f t="shared" si="11"/>
        <v>15.622462393002703</v>
      </c>
      <c r="E174" s="3"/>
      <c r="F174" s="3">
        <f t="shared" si="6"/>
        <v>1.6916464083074345E-3</v>
      </c>
      <c r="G174" s="3">
        <f t="shared" si="12"/>
        <v>15</v>
      </c>
      <c r="H174" s="3">
        <f t="shared" si="13"/>
        <v>8.4582320415371726E-4</v>
      </c>
      <c r="I174" s="3">
        <f t="shared" si="14"/>
        <v>15.623308216206857</v>
      </c>
      <c r="J174" s="3">
        <f t="shared" si="9"/>
        <v>1.1278151542519765E-3</v>
      </c>
      <c r="L174" t="s">
        <v>160</v>
      </c>
    </row>
    <row r="175" spans="2:12">
      <c r="B175" s="12">
        <v>30</v>
      </c>
      <c r="C175" s="3">
        <f t="shared" si="10"/>
        <v>15</v>
      </c>
      <c r="D175" s="3">
        <f t="shared" si="11"/>
        <v>15.623167258393343</v>
      </c>
      <c r="E175" s="3"/>
      <c r="F175" s="3">
        <f t="shared" si="6"/>
        <v>1.2217799636715654E-3</v>
      </c>
      <c r="G175" s="3">
        <f t="shared" si="12"/>
        <v>15.5</v>
      </c>
      <c r="H175" s="3">
        <f t="shared" si="13"/>
        <v>6.1088998183578269E-4</v>
      </c>
      <c r="I175" s="3">
        <f t="shared" si="14"/>
        <v>15.623778148375179</v>
      </c>
      <c r="J175" s="3">
        <f t="shared" si="9"/>
        <v>8.1454651648016352E-4</v>
      </c>
      <c r="L175" t="s">
        <v>161</v>
      </c>
    </row>
    <row r="176" spans="2:12">
      <c r="B176" s="12">
        <v>31</v>
      </c>
      <c r="C176" s="3">
        <f t="shared" si="10"/>
        <v>15.5</v>
      </c>
      <c r="D176" s="3">
        <f t="shared" si="11"/>
        <v>15.623676340013381</v>
      </c>
      <c r="E176" s="3"/>
      <c r="F176" s="3">
        <f t="shared" si="6"/>
        <v>8.8241507172526212E-4</v>
      </c>
      <c r="G176" s="3">
        <f t="shared" si="12"/>
        <v>16</v>
      </c>
      <c r="H176" s="3">
        <f t="shared" si="13"/>
        <v>4.4120753586263106E-4</v>
      </c>
      <c r="I176" s="3">
        <f t="shared" si="14"/>
        <v>15.624117547549243</v>
      </c>
      <c r="J176" s="3">
        <f t="shared" si="9"/>
        <v>5.8829055839737521E-4</v>
      </c>
      <c r="L176" t="s">
        <v>162</v>
      </c>
    </row>
    <row r="177" spans="2:12">
      <c r="B177" s="12">
        <v>32</v>
      </c>
      <c r="C177" s="3">
        <f t="shared" si="10"/>
        <v>16</v>
      </c>
      <c r="D177" s="3">
        <f t="shared" si="11"/>
        <v>15.62404401642091</v>
      </c>
      <c r="E177" s="3"/>
      <c r="F177" s="3">
        <f t="shared" si="6"/>
        <v>6.3730938795103498E-4</v>
      </c>
      <c r="G177" s="3">
        <f t="shared" si="12"/>
        <v>16.5</v>
      </c>
      <c r="H177" s="3">
        <f t="shared" si="13"/>
        <v>3.1865469397551749E-4</v>
      </c>
      <c r="I177" s="3">
        <f t="shared" si="14"/>
        <v>15.624362671114886</v>
      </c>
      <c r="J177" s="3">
        <f t="shared" si="9"/>
        <v>4.2488014640085225E-4</v>
      </c>
      <c r="L177" t="s">
        <v>163</v>
      </c>
    </row>
    <row r="178" spans="2:12">
      <c r="B178" s="12">
        <v>33</v>
      </c>
      <c r="C178" s="3">
        <f t="shared" si="10"/>
        <v>16.5</v>
      </c>
      <c r="D178" s="3">
        <f t="shared" si="11"/>
        <v>15.624309563804498</v>
      </c>
      <c r="E178" s="3"/>
      <c r="F178" s="3">
        <f t="shared" si="6"/>
        <v>4.6028401709818922E-4</v>
      </c>
      <c r="G178" s="3">
        <f t="shared" si="12"/>
        <v>17</v>
      </c>
      <c r="H178" s="3">
        <f t="shared" si="13"/>
        <v>2.3014200854909461E-4</v>
      </c>
      <c r="I178" s="3">
        <f t="shared" si="14"/>
        <v>15.624539705813048</v>
      </c>
      <c r="J178" s="3">
        <f t="shared" si="9"/>
        <v>3.0685977798228237E-4</v>
      </c>
      <c r="L178" t="s">
        <v>164</v>
      </c>
    </row>
    <row r="179" spans="2:12">
      <c r="B179" s="12">
        <v>34</v>
      </c>
      <c r="C179" s="3">
        <f t="shared" si="10"/>
        <v>17</v>
      </c>
      <c r="D179" s="3">
        <f t="shared" si="11"/>
        <v>15.624501349753269</v>
      </c>
      <c r="E179" s="3"/>
      <c r="F179" s="3">
        <f t="shared" si="6"/>
        <v>3.3242996138582726E-4</v>
      </c>
      <c r="G179" s="3">
        <f t="shared" si="12"/>
        <v>17.5</v>
      </c>
      <c r="H179" s="3">
        <f t="shared" si="13"/>
        <v>1.6621498069291363E-4</v>
      </c>
      <c r="I179" s="3">
        <f t="shared" si="14"/>
        <v>15.624667564733961</v>
      </c>
      <c r="J179" s="3">
        <f t="shared" si="9"/>
        <v>2.2162193892683035E-4</v>
      </c>
      <c r="L179" t="s">
        <v>165</v>
      </c>
    </row>
    <row r="180" spans="2:12">
      <c r="B180" s="12">
        <v>35</v>
      </c>
      <c r="C180" s="3">
        <f t="shared" si="10"/>
        <v>17.5</v>
      </c>
      <c r="D180" s="3">
        <f t="shared" si="11"/>
        <v>15.624639862728348</v>
      </c>
      <c r="E180" s="3"/>
      <c r="F180" s="3">
        <f t="shared" si="6"/>
        <v>2.4008966980915147E-4</v>
      </c>
      <c r="G180" s="3">
        <f t="shared" si="12"/>
        <v>18</v>
      </c>
      <c r="H180" s="3">
        <f t="shared" si="13"/>
        <v>1.2004483490457574E-4</v>
      </c>
      <c r="I180" s="3">
        <f t="shared" si="14"/>
        <v>15.624759907563252</v>
      </c>
      <c r="J180" s="3">
        <f t="shared" si="9"/>
        <v>1.6006080466013373E-4</v>
      </c>
      <c r="L180" t="s">
        <v>166</v>
      </c>
    </row>
    <row r="181" spans="2:12">
      <c r="B181" s="12">
        <v>36</v>
      </c>
      <c r="C181" s="3">
        <f t="shared" si="10"/>
        <v>18</v>
      </c>
      <c r="D181" s="3">
        <f t="shared" si="11"/>
        <v>15.624739900346965</v>
      </c>
      <c r="E181" s="3"/>
      <c r="F181" s="3">
        <f t="shared" si="6"/>
        <v>1.7339880652755824E-4</v>
      </c>
      <c r="G181" s="3">
        <f t="shared" si="12"/>
        <v>18.5</v>
      </c>
      <c r="H181" s="3">
        <f t="shared" si="13"/>
        <v>8.6699403263779118E-5</v>
      </c>
      <c r="I181" s="3">
        <f t="shared" si="14"/>
        <v>15.624826599750229</v>
      </c>
      <c r="J181" s="3">
        <f t="shared" si="9"/>
        <v>1.155997388835317E-4</v>
      </c>
      <c r="L181" t="s">
        <v>167</v>
      </c>
    </row>
    <row r="182" spans="2:12">
      <c r="B182" s="12">
        <v>37</v>
      </c>
      <c r="C182" s="3">
        <f t="shared" si="10"/>
        <v>18.5</v>
      </c>
      <c r="D182" s="3">
        <f t="shared" si="11"/>
        <v>15.624812149983317</v>
      </c>
      <c r="E182" s="3"/>
      <c r="F182" s="3">
        <f t="shared" si="6"/>
        <v>1.252328425849214E-4</v>
      </c>
      <c r="G182" s="3">
        <f t="shared" si="12"/>
        <v>19</v>
      </c>
      <c r="H182" s="3">
        <f t="shared" si="13"/>
        <v>6.26164212924607E-5</v>
      </c>
      <c r="I182" s="3">
        <f t="shared" si="14"/>
        <v>15.624874766404609</v>
      </c>
      <c r="J182" s="3">
        <f t="shared" si="9"/>
        <v>8.3488840530776542E-5</v>
      </c>
      <c r="L182" t="s">
        <v>168</v>
      </c>
    </row>
    <row r="183" spans="2:12">
      <c r="B183" s="12">
        <v>38</v>
      </c>
      <c r="C183" s="3">
        <f t="shared" si="10"/>
        <v>19</v>
      </c>
      <c r="D183" s="3">
        <f t="shared" si="11"/>
        <v>15.624864330404096</v>
      </c>
      <c r="E183" s="3"/>
      <c r="F183" s="3">
        <f t="shared" si="6"/>
        <v>9.0446135491362156E-5</v>
      </c>
      <c r="G183" s="3">
        <f t="shared" si="12"/>
        <v>19.5</v>
      </c>
      <c r="H183" s="3">
        <f t="shared" si="13"/>
        <v>4.5223067745681078E-5</v>
      </c>
      <c r="I183" s="3">
        <f t="shared" si="14"/>
        <v>15.624909553471841</v>
      </c>
      <c r="J183" s="3">
        <f t="shared" si="9"/>
        <v>6.029756908887407E-5</v>
      </c>
      <c r="L183" t="s">
        <v>169</v>
      </c>
    </row>
    <row r="184" spans="2:12">
      <c r="B184" s="12">
        <v>39</v>
      </c>
      <c r="C184" s="3">
        <f t="shared" si="10"/>
        <v>19.5</v>
      </c>
      <c r="D184" s="3">
        <f t="shared" si="11"/>
        <v>15.624902016330241</v>
      </c>
      <c r="E184" s="3"/>
      <c r="F184" s="3">
        <f t="shared" si="6"/>
        <v>6.532230996114663E-5</v>
      </c>
      <c r="G184" s="3">
        <f t="shared" si="12"/>
        <v>20</v>
      </c>
      <c r="H184" s="3">
        <f t="shared" si="13"/>
        <v>3.2661154980573315E-5</v>
      </c>
      <c r="I184" s="3">
        <f t="shared" si="14"/>
        <v>15.624934677485221</v>
      </c>
      <c r="J184" s="3">
        <f t="shared" si="9"/>
        <v>4.3548282501859603E-5</v>
      </c>
      <c r="L184" t="s">
        <v>170</v>
      </c>
    </row>
    <row r="185" spans="2:12">
      <c r="B185" s="12">
        <v>40</v>
      </c>
      <c r="C185" s="3">
        <f t="shared" si="10"/>
        <v>20</v>
      </c>
      <c r="D185" s="3">
        <f t="shared" si="11"/>
        <v>15.624929233978357</v>
      </c>
      <c r="E185" s="3"/>
      <c r="F185" s="3">
        <f t="shared" si="6"/>
        <v>4.7177276545795621E-5</v>
      </c>
      <c r="G185" s="3">
        <f t="shared" si="12"/>
        <v>20.5</v>
      </c>
      <c r="H185" s="3">
        <f t="shared" si="13"/>
        <v>2.3588638272897811E-5</v>
      </c>
      <c r="I185" s="3">
        <f t="shared" si="14"/>
        <v>15.624952822616629</v>
      </c>
      <c r="J185" s="3">
        <f t="shared" si="9"/>
        <v>3.1451557255479656E-5</v>
      </c>
      <c r="L185" t="s">
        <v>171</v>
      </c>
    </row>
    <row r="186" spans="2:12">
      <c r="B186" s="12">
        <v>41</v>
      </c>
      <c r="C186" s="3">
        <f t="shared" si="10"/>
        <v>20.5</v>
      </c>
      <c r="D186" s="3">
        <f t="shared" si="11"/>
        <v>15.624948891186808</v>
      </c>
      <c r="E186" s="3"/>
      <c r="F186" s="3">
        <f t="shared" si="6"/>
        <v>3.4072504980997564E-5</v>
      </c>
      <c r="G186" s="3">
        <f t="shared" si="12"/>
        <v>21</v>
      </c>
      <c r="H186" s="3">
        <f t="shared" si="13"/>
        <v>1.7036252490498782E-5</v>
      </c>
      <c r="I186" s="3">
        <f t="shared" si="14"/>
        <v>15.624965927439298</v>
      </c>
      <c r="J186" s="3">
        <f t="shared" si="9"/>
        <v>2.2715023952457614E-5</v>
      </c>
      <c r="L186" t="s">
        <v>172</v>
      </c>
    </row>
    <row r="187" spans="2:12">
      <c r="B187" s="12">
        <v>42</v>
      </c>
      <c r="C187" s="3">
        <f t="shared" si="10"/>
        <v>21</v>
      </c>
      <c r="D187" s="3">
        <f t="shared" si="11"/>
        <v>15.624963088069041</v>
      </c>
      <c r="E187" s="3"/>
      <c r="F187" s="3">
        <f t="shared" si="6"/>
        <v>2.4607934598463999E-5</v>
      </c>
      <c r="G187" s="3">
        <f t="shared" si="12"/>
        <v>21.5</v>
      </c>
      <c r="H187" s="3">
        <f t="shared" si="13"/>
        <v>1.2303967299231999E-5</v>
      </c>
      <c r="I187" s="3">
        <f t="shared" si="14"/>
        <v>15.62497539203634</v>
      </c>
      <c r="J187" s="3">
        <f t="shared" si="9"/>
        <v>1.6405300492294828E-5</v>
      </c>
      <c r="L187" t="s">
        <v>173</v>
      </c>
    </row>
    <row r="188" spans="2:12">
      <c r="B188" s="12">
        <v>43</v>
      </c>
      <c r="C188" s="3">
        <f t="shared" si="10"/>
        <v>21.5</v>
      </c>
      <c r="D188" s="6">
        <f t="shared" si="11"/>
        <v>15.624973341377814</v>
      </c>
      <c r="E188" s="3"/>
      <c r="F188" s="3">
        <f t="shared" si="6"/>
        <v>1.7772404678595422E-5</v>
      </c>
      <c r="G188" s="3">
        <f t="shared" si="12"/>
        <v>22</v>
      </c>
      <c r="H188" s="3">
        <f t="shared" si="13"/>
        <v>8.8862023392977108E-6</v>
      </c>
      <c r="I188" s="3">
        <f t="shared" si="14"/>
        <v>15.624982227580153</v>
      </c>
      <c r="J188" s="3">
        <f t="shared" si="9"/>
        <v>1.1848275402570607E-5</v>
      </c>
      <c r="L188" t="s">
        <v>174</v>
      </c>
    </row>
    <row r="189" spans="2:12">
      <c r="D189" s="17" t="s">
        <v>190</v>
      </c>
    </row>
    <row r="192" spans="2:12">
      <c r="B192" t="s">
        <v>182</v>
      </c>
    </row>
    <row r="194" spans="2:14">
      <c r="B194" t="s">
        <v>183</v>
      </c>
    </row>
    <row r="197" spans="2:14">
      <c r="B197" t="s">
        <v>187</v>
      </c>
      <c r="H197" t="s">
        <v>188</v>
      </c>
      <c r="N197" t="s">
        <v>189</v>
      </c>
    </row>
  </sheetData>
  <mergeCells count="1">
    <mergeCell ref="H143:I14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EJERCICIO_1</vt:lpstr>
      <vt:lpstr>EJERCICIO_2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Paviliom Ryzen 5</dc:creator>
  <cp:lastModifiedBy>Hp Paviliom Ryzen 5</cp:lastModifiedBy>
  <dcterms:created xsi:type="dcterms:W3CDTF">2025-12-01T13:06:40Z</dcterms:created>
  <dcterms:modified xsi:type="dcterms:W3CDTF">2025-12-04T02:55:56Z</dcterms:modified>
</cp:coreProperties>
</file>